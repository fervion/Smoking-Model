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omments10.xml" ContentType="application/vnd.openxmlformats-officedocument.spreadsheetml.comment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32700" yWindow="345" windowWidth="28920" windowHeight="16320" tabRatio="800"/>
  </bookViews>
  <sheets>
    <sheet name="Simulation" sheetId="1" r:id="rId1"/>
    <sheet name="Initialization" sheetId="16" r:id="rId2"/>
    <sheet name="NatHist" sheetId="4" r:id="rId3"/>
    <sheet name="Smoking" sheetId="3" r:id="rId4"/>
    <sheet name="Pre-Events" sheetId="17" r:id="rId5"/>
    <sheet name="Events" sheetId="13" r:id="rId6"/>
    <sheet name="Prophs" sheetId="5" r:id="rId7"/>
    <sheet name="Intervention" sheetId="7" r:id="rId8"/>
    <sheet name="Costs" sheetId="10" r:id="rId9"/>
    <sheet name="QoL" sheetId="12" r:id="rId10"/>
    <sheet name="HIV" sheetId="15" r:id="rId11"/>
  </sheets>
  <calcPr calcId="124519" concurrentCalc="0"/>
  <extLst xmlns:x15="http://schemas.microsoft.com/office/spreadsheetml/2010/11/main"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7"/>
  <c r="B25"/>
  <c r="U25"/>
  <c r="B36"/>
  <c r="B62"/>
  <c r="B8"/>
  <c r="B26"/>
  <c r="U26"/>
  <c r="B37"/>
  <c r="B63"/>
  <c r="B9"/>
  <c r="B27"/>
  <c r="U27"/>
  <c r="B38"/>
  <c r="B64"/>
  <c r="B10"/>
  <c r="B28"/>
  <c r="U28"/>
  <c r="B39"/>
  <c r="B65"/>
  <c r="R78" i="7"/>
  <c r="Q78"/>
  <c r="P78"/>
  <c r="O78"/>
  <c r="N78"/>
  <c r="R65"/>
  <c r="Q65"/>
  <c r="P65"/>
  <c r="O65"/>
  <c r="N65"/>
  <c r="M8"/>
  <c r="M39"/>
  <c r="M52"/>
  <c r="M67"/>
  <c r="M80"/>
  <c r="M9"/>
  <c r="M10"/>
  <c r="M11"/>
  <c r="M12"/>
  <c r="M13"/>
  <c r="M14"/>
  <c r="M15"/>
  <c r="M16"/>
  <c r="M7"/>
  <c r="M23"/>
  <c r="O9" i="3"/>
  <c r="O10"/>
  <c r="O11"/>
  <c r="O12"/>
  <c r="O8"/>
  <c r="R78" i="5"/>
  <c r="Q78"/>
  <c r="P78"/>
  <c r="O78"/>
  <c r="N78"/>
  <c r="R65"/>
  <c r="Q65"/>
  <c r="P65"/>
  <c r="O65"/>
  <c r="N65"/>
  <c r="M8"/>
  <c r="M24"/>
  <c r="M9"/>
  <c r="M25"/>
  <c r="M10"/>
  <c r="M41"/>
  <c r="M54"/>
  <c r="M69"/>
  <c r="M11"/>
  <c r="AG11"/>
  <c r="M12"/>
  <c r="M28"/>
  <c r="M13"/>
  <c r="AG13"/>
  <c r="M14"/>
  <c r="M45"/>
  <c r="M58"/>
  <c r="M73"/>
  <c r="M15"/>
  <c r="M46"/>
  <c r="M59"/>
  <c r="M74"/>
  <c r="M16"/>
  <c r="M32"/>
  <c r="M7"/>
  <c r="AG7"/>
  <c r="M38" i="7"/>
  <c r="M51"/>
  <c r="M66"/>
  <c r="M79"/>
  <c r="AG7"/>
  <c r="M24"/>
  <c r="AG8"/>
  <c r="M42" i="5"/>
  <c r="M55"/>
  <c r="M70"/>
  <c r="M98"/>
  <c r="M111"/>
  <c r="AG15"/>
  <c r="M29"/>
  <c r="AG9"/>
  <c r="M87"/>
  <c r="M102"/>
  <c r="M115"/>
  <c r="M82"/>
  <c r="M97"/>
  <c r="M110"/>
  <c r="M86"/>
  <c r="M101"/>
  <c r="M114"/>
  <c r="M23"/>
  <c r="M27"/>
  <c r="M31"/>
  <c r="M40"/>
  <c r="M53"/>
  <c r="M68"/>
  <c r="M44"/>
  <c r="M57"/>
  <c r="M72"/>
  <c r="AG8"/>
  <c r="AG10"/>
  <c r="AG12"/>
  <c r="AG14"/>
  <c r="AG16"/>
  <c r="M26"/>
  <c r="M30"/>
  <c r="M39"/>
  <c r="M52"/>
  <c r="M67"/>
  <c r="M43"/>
  <c r="M56"/>
  <c r="M71"/>
  <c r="M47"/>
  <c r="M60"/>
  <c r="M75"/>
  <c r="M38"/>
  <c r="M51"/>
  <c r="M66"/>
  <c r="Z54" i="4"/>
  <c r="Z52"/>
  <c r="Z53"/>
  <c r="AA54"/>
  <c r="AA53"/>
  <c r="Z27"/>
  <c r="Z28"/>
  <c r="AA29"/>
  <c r="AA28"/>
  <c r="Z29"/>
  <c r="M26" i="7"/>
  <c r="AG10"/>
  <c r="M41"/>
  <c r="M54"/>
  <c r="M69"/>
  <c r="M82"/>
  <c r="M40"/>
  <c r="M53"/>
  <c r="M68"/>
  <c r="M81"/>
  <c r="M25"/>
  <c r="AG9"/>
  <c r="M83" i="5"/>
  <c r="M80"/>
  <c r="M95"/>
  <c r="M108"/>
  <c r="M84"/>
  <c r="M99"/>
  <c r="M112"/>
  <c r="M85"/>
  <c r="M100"/>
  <c r="M113"/>
  <c r="M88"/>
  <c r="M103"/>
  <c r="M116"/>
  <c r="M79"/>
  <c r="M94"/>
  <c r="M107"/>
  <c r="M81"/>
  <c r="M96"/>
  <c r="M109"/>
  <c r="O22" i="3"/>
  <c r="O21"/>
  <c r="O20"/>
  <c r="O19"/>
  <c r="O18"/>
  <c r="M27" i="7"/>
  <c r="M42"/>
  <c r="M55"/>
  <c r="M70"/>
  <c r="M83"/>
  <c r="AG11"/>
  <c r="M43"/>
  <c r="M56"/>
  <c r="M71"/>
  <c r="M84"/>
  <c r="AG12"/>
  <c r="M28"/>
  <c r="G5" i="16"/>
  <c r="M44" i="7"/>
  <c r="M57"/>
  <c r="M72"/>
  <c r="M85"/>
  <c r="M29"/>
  <c r="AG13"/>
  <c r="M30"/>
  <c r="AG14"/>
  <c r="M45"/>
  <c r="M58"/>
  <c r="M73"/>
  <c r="M86"/>
  <c r="C14" i="16"/>
  <c r="D14"/>
  <c r="E14"/>
  <c r="F14"/>
  <c r="G14"/>
  <c r="H14"/>
  <c r="I14"/>
  <c r="J14"/>
  <c r="K14"/>
  <c r="L14"/>
  <c r="M14"/>
  <c r="N14"/>
  <c r="O14"/>
  <c r="P14"/>
  <c r="Q14"/>
  <c r="C20"/>
  <c r="D20"/>
  <c r="E20"/>
  <c r="F20"/>
  <c r="G20"/>
  <c r="H20"/>
  <c r="I20"/>
  <c r="J20"/>
  <c r="K20"/>
  <c r="L20"/>
  <c r="M20"/>
  <c r="N20"/>
  <c r="O20"/>
  <c r="P20"/>
  <c r="Q20"/>
  <c r="C28"/>
  <c r="D28"/>
  <c r="E28"/>
  <c r="F28"/>
  <c r="G28"/>
  <c r="H28"/>
  <c r="I28"/>
  <c r="J28"/>
  <c r="K28"/>
  <c r="L28"/>
  <c r="M28"/>
  <c r="N28"/>
  <c r="O28"/>
  <c r="P28"/>
  <c r="Q28"/>
  <c r="C34"/>
  <c r="D34"/>
  <c r="E34"/>
  <c r="F34"/>
  <c r="G34"/>
  <c r="H34"/>
  <c r="I34"/>
  <c r="J34"/>
  <c r="K34"/>
  <c r="L34"/>
  <c r="M34"/>
  <c r="N34"/>
  <c r="O34"/>
  <c r="P34"/>
  <c r="Q34"/>
  <c r="M31" i="7"/>
  <c r="M46"/>
  <c r="M59"/>
  <c r="M74"/>
  <c r="M87"/>
  <c r="AG15"/>
  <c r="M47"/>
  <c r="M60"/>
  <c r="M75"/>
  <c r="M88"/>
  <c r="AG16"/>
  <c r="M32"/>
  <c r="AN43" i="17"/>
  <c r="AN44"/>
  <c r="AN45"/>
  <c r="AN46"/>
  <c r="AN54"/>
  <c r="B6"/>
  <c r="AN42"/>
  <c r="AN50"/>
  <c r="AN51"/>
  <c r="AN53"/>
  <c r="AN52"/>
  <c r="B24"/>
  <c r="U24"/>
  <c r="AN24"/>
  <c r="U6"/>
  <c r="AN27"/>
  <c r="U9"/>
  <c r="AN26"/>
  <c r="U8"/>
  <c r="AN25"/>
  <c r="U7"/>
  <c r="B18"/>
  <c r="U10"/>
  <c r="B17"/>
  <c r="AN28"/>
  <c r="B16"/>
  <c r="B14"/>
  <c r="B15"/>
  <c r="AK30" i="15"/>
  <c r="AK29"/>
  <c r="AK28"/>
  <c r="AN36" i="17"/>
  <c r="AN35"/>
  <c r="AN33"/>
  <c r="AN34"/>
  <c r="AN32"/>
  <c r="U17"/>
  <c r="AN9"/>
  <c r="AN17"/>
  <c r="AS70"/>
  <c r="AS56"/>
  <c r="AS65"/>
  <c r="U15"/>
  <c r="AN7"/>
  <c r="AN15"/>
  <c r="AQ70"/>
  <c r="AQ56"/>
  <c r="AQ65"/>
  <c r="U18"/>
  <c r="AN10"/>
  <c r="AN18"/>
  <c r="AT70"/>
  <c r="AT56"/>
  <c r="AT65"/>
  <c r="U16"/>
  <c r="AN8"/>
  <c r="AN16"/>
  <c r="AR70"/>
  <c r="AR56"/>
  <c r="AR65"/>
  <c r="U14"/>
  <c r="AN6"/>
  <c r="AN14"/>
  <c r="AP70"/>
  <c r="AP56"/>
  <c r="AP65"/>
  <c r="U33"/>
  <c r="U36"/>
  <c r="B47"/>
  <c r="B55"/>
  <c r="U35"/>
  <c r="U34"/>
  <c r="U32"/>
  <c r="B35"/>
  <c r="V86" i="16"/>
  <c r="V66"/>
  <c r="V46"/>
  <c r="V26"/>
  <c r="V6"/>
  <c r="B45" i="17"/>
  <c r="B53"/>
  <c r="B43"/>
  <c r="B51"/>
  <c r="B61"/>
  <c r="B46"/>
  <c r="B54"/>
  <c r="B44"/>
  <c r="B52"/>
  <c r="O42" i="15"/>
  <c r="N42"/>
  <c r="M42"/>
  <c r="L42"/>
  <c r="K42"/>
  <c r="J42"/>
  <c r="BB15"/>
  <c r="BB16"/>
  <c r="BB14"/>
  <c r="M50"/>
  <c r="L50"/>
  <c r="K50"/>
  <c r="L11"/>
  <c r="L10"/>
  <c r="L9"/>
  <c r="L8"/>
  <c r="L7"/>
  <c r="L6"/>
  <c r="B20" i="12"/>
  <c r="B21"/>
  <c r="B19"/>
  <c r="R22"/>
  <c r="R23"/>
  <c r="R24"/>
  <c r="R25"/>
  <c r="R26"/>
  <c r="R27"/>
  <c r="R28"/>
  <c r="R29"/>
  <c r="R30"/>
  <c r="R21"/>
  <c r="R7"/>
  <c r="R8"/>
  <c r="R9"/>
  <c r="R10"/>
  <c r="R11"/>
  <c r="R12"/>
  <c r="R13"/>
  <c r="R14"/>
  <c r="R15"/>
  <c r="R6"/>
  <c r="I17"/>
  <c r="I18"/>
  <c r="I19"/>
  <c r="I20"/>
  <c r="I10"/>
  <c r="I16"/>
  <c r="I27"/>
  <c r="I7"/>
  <c r="I28"/>
  <c r="I8"/>
  <c r="I26"/>
  <c r="I6"/>
  <c r="I29"/>
  <c r="I9"/>
  <c r="I30"/>
  <c r="B39" i="13"/>
  <c r="B47"/>
  <c r="B55"/>
  <c r="B38"/>
  <c r="B46"/>
  <c r="B54"/>
  <c r="B37"/>
  <c r="B45"/>
  <c r="B53"/>
  <c r="B36"/>
  <c r="B44"/>
  <c r="B52"/>
  <c r="B35"/>
  <c r="B43"/>
  <c r="B51"/>
  <c r="B28"/>
  <c r="U28"/>
  <c r="U39"/>
  <c r="B27"/>
  <c r="U27"/>
  <c r="U38"/>
  <c r="B26"/>
  <c r="U26"/>
  <c r="U37"/>
  <c r="B25"/>
  <c r="U25"/>
  <c r="U36"/>
  <c r="B24"/>
  <c r="U24"/>
  <c r="U35"/>
  <c r="B18"/>
  <c r="B17"/>
  <c r="B16"/>
  <c r="B15"/>
  <c r="B14"/>
  <c r="B10"/>
  <c r="B9"/>
  <c r="B8"/>
  <c r="B7"/>
  <c r="B6"/>
  <c r="U44"/>
  <c r="U52"/>
  <c r="U62"/>
  <c r="U45"/>
  <c r="U53"/>
  <c r="U63"/>
  <c r="U46"/>
  <c r="U54"/>
  <c r="U64"/>
  <c r="U43"/>
  <c r="U51"/>
  <c r="U61"/>
  <c r="U47"/>
  <c r="U55"/>
  <c r="U65"/>
  <c r="U6"/>
  <c r="BS7" i="15"/>
  <c r="BS26"/>
  <c r="U14" i="13"/>
  <c r="BS16" i="15"/>
  <c r="BS35"/>
  <c r="U8" i="13"/>
  <c r="BS9" i="15"/>
  <c r="BS28"/>
  <c r="U15" i="13"/>
  <c r="BS17" i="15"/>
  <c r="BS36"/>
  <c r="U9" i="13"/>
  <c r="BS10" i="15"/>
  <c r="BS29"/>
  <c r="U16" i="13"/>
  <c r="BS18" i="15"/>
  <c r="BS37"/>
  <c r="U10" i="13"/>
  <c r="BS11" i="15"/>
  <c r="BS30"/>
  <c r="U17" i="13"/>
  <c r="BS19" i="15"/>
  <c r="BS38"/>
  <c r="U7" i="13"/>
  <c r="BS8" i="15"/>
  <c r="BS27"/>
  <c r="U18" i="13"/>
  <c r="BS20" i="15"/>
  <c r="BS39"/>
  <c r="B64" i="13"/>
  <c r="B73"/>
  <c r="B61"/>
  <c r="B70"/>
  <c r="B65"/>
  <c r="B74"/>
  <c r="B62"/>
  <c r="B71"/>
  <c r="B63"/>
  <c r="B72"/>
  <c r="U74"/>
  <c r="U73"/>
  <c r="U71"/>
  <c r="U72"/>
  <c r="U70"/>
  <c r="B38" i="10"/>
  <c r="B39"/>
  <c r="B40"/>
  <c r="B41"/>
  <c r="B42"/>
  <c r="B43"/>
  <c r="B44"/>
  <c r="B45"/>
  <c r="B46"/>
  <c r="B37"/>
  <c r="B24"/>
  <c r="B25"/>
  <c r="B26"/>
  <c r="B27"/>
  <c r="B28"/>
  <c r="B29"/>
  <c r="B30"/>
  <c r="B31"/>
  <c r="B32"/>
  <c r="B23"/>
  <c r="B9"/>
  <c r="B18"/>
  <c r="H26"/>
  <c r="B6"/>
  <c r="B15"/>
  <c r="H23"/>
  <c r="B7"/>
  <c r="B16"/>
  <c r="H24"/>
  <c r="B8"/>
  <c r="B17"/>
  <c r="H25"/>
  <c r="B5"/>
  <c r="B14"/>
  <c r="H22"/>
  <c r="C22" i="7"/>
  <c r="AG23"/>
  <c r="C23"/>
  <c r="AG24"/>
  <c r="C24"/>
  <c r="AG25"/>
  <c r="C25"/>
  <c r="AG26"/>
  <c r="C26"/>
  <c r="AG27"/>
  <c r="C27"/>
  <c r="AG28"/>
  <c r="C28"/>
  <c r="AG29"/>
  <c r="C29"/>
  <c r="AG30"/>
  <c r="C30"/>
  <c r="AG31"/>
  <c r="C21"/>
  <c r="AG22"/>
  <c r="C22" i="5"/>
  <c r="C37"/>
  <c r="C23"/>
  <c r="C38"/>
  <c r="C24"/>
  <c r="C39"/>
  <c r="C25"/>
  <c r="C40"/>
  <c r="C26"/>
  <c r="C41"/>
  <c r="C27"/>
  <c r="C42"/>
  <c r="C28"/>
  <c r="C43"/>
  <c r="C29"/>
  <c r="C44"/>
  <c r="C30"/>
  <c r="C45"/>
  <c r="C21"/>
  <c r="C36"/>
  <c r="H20"/>
  <c r="G20"/>
  <c r="F20"/>
  <c r="E20"/>
  <c r="D20"/>
  <c r="H5"/>
  <c r="G5"/>
  <c r="F5"/>
  <c r="E5"/>
  <c r="D5"/>
  <c r="E4" i="1"/>
</calcChain>
</file>

<file path=xl/comments1.xml><?xml version="1.0" encoding="utf-8"?>
<comments xmlns="http://schemas.openxmlformats.org/spreadsheetml/2006/main">
  <authors>
    <author>thou</author>
  </authors>
  <commentList>
    <comment ref="A18" authorId="0">
      <text>
        <r>
          <rPr>
            <b/>
            <sz val="8"/>
            <color indexed="81"/>
            <rFont val="Tahoma"/>
            <family val="2"/>
          </rPr>
          <t>Patients are killed if they reach this age</t>
        </r>
      </text>
    </comment>
  </commentList>
</comments>
</file>

<file path=xl/comments2.xml><?xml version="1.0" encoding="utf-8"?>
<comments xmlns="http://schemas.openxmlformats.org/spreadsheetml/2006/main">
  <authors>
    <author>thou</author>
  </authors>
  <commentList>
    <comment ref="A37" authorId="0">
      <text>
        <r>
          <rPr>
            <b/>
            <sz val="8"/>
            <color indexed="81"/>
            <rFont val="Tahoma"/>
            <family val="2"/>
          </rPr>
          <t>Can't be longer than init age</t>
        </r>
      </text>
    </comment>
  </commentList>
</comments>
</file>

<file path=xl/comments3.xml><?xml version="1.0" encoding="utf-8"?>
<comments xmlns="http://schemas.openxmlformats.org/spreadsheetml/2006/main">
  <authors>
    <author>thou</author>
  </authors>
  <commentList>
    <comment ref="V1" authorId="0">
      <text>
        <r>
          <rPr>
            <b/>
            <sz val="8"/>
            <color indexed="81"/>
            <rFont val="Tahoma"/>
            <family val="2"/>
          </rPr>
          <t xml:space="preserve">Based on transition points and life tables of both Ex smoker and Current smokers
</t>
        </r>
      </text>
    </comment>
    <comment ref="H3" authorId="0">
      <text>
        <r>
          <rPr>
            <b/>
            <sz val="8"/>
            <color indexed="81"/>
            <rFont val="Tahoma"/>
            <family val="2"/>
          </rPr>
          <t xml:space="preserve">If multipliers are not selected life tables below are used
</t>
        </r>
      </text>
    </comment>
    <comment ref="V3" authorId="0">
      <text>
        <r>
          <rPr>
            <b/>
            <sz val="8"/>
            <color indexed="81"/>
            <rFont val="Tahoma"/>
            <family val="2"/>
          </rPr>
          <t>Before T1 = Current Smoker probs
After T2 = Ex-Smoker probs
Between T1,T2 = linear interpolation</t>
        </r>
      </text>
    </comment>
    <comment ref="AF3" authorId="0">
      <text>
        <r>
          <rPr>
            <b/>
            <sz val="8"/>
            <color indexed="81"/>
            <rFont val="Tahoma"/>
            <family val="2"/>
          </rPr>
          <t xml:space="preserve">If multipliers are not selected life tables below are used
</t>
        </r>
      </text>
    </comment>
    <comment ref="H11" authorId="0">
      <text>
        <r>
          <rPr>
            <b/>
            <sz val="8"/>
            <color indexed="81"/>
            <rFont val="Tahoma"/>
            <family val="2"/>
          </rPr>
          <t>Applied to the Never Smokers life tables.</t>
        </r>
      </text>
    </comment>
    <comment ref="AF11" authorId="0">
      <text>
        <r>
          <rPr>
            <b/>
            <sz val="8"/>
            <color indexed="81"/>
            <rFont val="Tahoma"/>
            <family val="2"/>
          </rPr>
          <t>Applied to the Never Smokers life tables.</t>
        </r>
      </text>
    </comment>
  </commentList>
</comments>
</file>

<file path=xl/comments4.xml><?xml version="1.0" encoding="utf-8"?>
<comments xmlns="http://schemas.openxmlformats.org/spreadsheetml/2006/main">
  <authors>
    <author>taige</author>
    <author>Microsoft Office User</author>
  </authors>
  <commentList>
    <comment ref="N5" authorId="0">
      <text>
        <r>
          <rPr>
            <b/>
            <sz val="9"/>
            <color indexed="81"/>
            <rFont val="Tahoma"/>
            <family val="2"/>
          </rPr>
          <t>This will replace the base monthly quit probabilty while the duration is active.  Only Highest quit prob is applied between events, complications.</t>
        </r>
      </text>
    </comment>
    <comment ref="N15" authorId="1">
      <text>
        <r>
          <rPr>
            <b/>
            <sz val="10"/>
            <color indexed="81"/>
            <rFont val="Calibri"/>
            <family val="2"/>
          </rPr>
          <t>This will replace the base quit probabilty while the duration is active.  Only Highest quit prob is applied between events, complications.</t>
        </r>
        <r>
          <rPr>
            <sz val="10"/>
            <color indexed="81"/>
            <rFont val="Calibr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thou</author>
  </authors>
  <commentList>
    <comment ref="A31" authorId="0">
      <text>
        <r>
          <rPr>
            <b/>
            <sz val="8"/>
            <color indexed="81"/>
            <rFont val="Tahoma"/>
            <family val="2"/>
          </rPr>
          <t>Ex-smokers are defined as smokers who have quit smoking for a set amount of time defined below</t>
        </r>
      </text>
    </comment>
    <comment ref="A58" authorId="0">
      <text>
        <r>
          <rPr>
            <b/>
            <sz val="8"/>
            <color indexed="81"/>
            <rFont val="Tahoma"/>
            <family val="2"/>
          </rPr>
          <t>Before T1 = Current Smoker probs
After T2 = Ex-Smoker probs
Between T1,T2 = linear interpolation</t>
        </r>
      </text>
    </comment>
    <comment ref="AN61" authorId="0">
      <text>
        <r>
          <rPr>
            <b/>
            <sz val="8"/>
            <color indexed="81"/>
            <rFont val="Tahoma"/>
            <family val="2"/>
          </rPr>
          <t>Max number of screens through regular testing</t>
        </r>
      </text>
    </comment>
    <comment ref="AN66" authorId="0">
      <text>
        <r>
          <rPr>
            <b/>
            <sz val="8"/>
            <color indexed="81"/>
            <rFont val="Tahoma"/>
            <family val="2"/>
          </rPr>
          <t>Time between screen and confirmatory test</t>
        </r>
      </text>
    </comment>
    <comment ref="AN74" authorId="0">
      <text>
        <r>
          <rPr>
            <b/>
            <sz val="8"/>
            <color indexed="81"/>
            <rFont val="Tahoma"/>
            <family val="2"/>
          </rPr>
          <t xml:space="preserve">Number of the proph to start (1-10)
</t>
        </r>
      </text>
    </comment>
  </commentList>
</comments>
</file>

<file path=xl/comments6.xml><?xml version="1.0" encoding="utf-8"?>
<comments xmlns="http://schemas.openxmlformats.org/spreadsheetml/2006/main">
  <authors>
    <author>thou</author>
  </authors>
  <commentList>
    <comment ref="A31" authorId="0">
      <text>
        <r>
          <rPr>
            <b/>
            <sz val="8"/>
            <color indexed="81"/>
            <rFont val="Tahoma"/>
            <family val="2"/>
          </rPr>
          <t>Ex-smokers are defined as smokers who have quit smoking for a set amount of time defined below</t>
        </r>
      </text>
    </comment>
    <comment ref="T31" authorId="0">
      <text>
        <r>
          <rPr>
            <b/>
            <sz val="8"/>
            <color indexed="81"/>
            <rFont val="Tahoma"/>
            <family val="2"/>
          </rPr>
          <t>Ex-smokers are defined as smokers who have quit smoking for a set amount of time defined below</t>
        </r>
      </text>
    </comment>
    <comment ref="A58" authorId="0">
      <text>
        <r>
          <rPr>
            <b/>
            <sz val="8"/>
            <color indexed="81"/>
            <rFont val="Tahoma"/>
            <family val="2"/>
          </rPr>
          <t>Before T1 = Current Smoker probs
After T2 = Ex-Smoker probs
Between T1,T2 = linear interpolation</t>
        </r>
      </text>
    </comment>
    <comment ref="T58" authorId="0">
      <text>
        <r>
          <rPr>
            <b/>
            <sz val="8"/>
            <color indexed="81"/>
            <rFont val="Tahoma"/>
            <family val="2"/>
          </rPr>
          <t>Before T1 = Current Smoker probs
After T2 = Ex-Smoker probs
Between T1,T2 = linear interpolation</t>
        </r>
      </text>
    </comment>
  </commentList>
</comments>
</file>

<file path=xl/comments7.xml><?xml version="1.0" encoding="utf-8"?>
<comments xmlns="http://schemas.openxmlformats.org/spreadsheetml/2006/main">
  <authors>
    <author>thou</author>
    <author>taige</author>
  </authors>
  <commentList>
    <comment ref="G35" authorId="0">
      <text>
        <r>
          <rPr>
            <b/>
            <sz val="8"/>
            <color indexed="81"/>
            <rFont val="Tahoma"/>
            <family val="2"/>
          </rPr>
          <t>Does not allow user to take proph if they ever had tox on that line</t>
        </r>
      </text>
    </comment>
    <comment ref="K63" authorId="1">
      <text>
        <r>
          <rPr>
            <b/>
            <sz val="9"/>
            <color indexed="81"/>
            <rFont val="Tahoma"/>
            <family val="2"/>
          </rPr>
          <t>If patient has multiple event hists the max value is used.</t>
        </r>
      </text>
    </comment>
  </commentList>
</comments>
</file>

<file path=xl/comments8.xml><?xml version="1.0" encoding="utf-8"?>
<comments xmlns="http://schemas.openxmlformats.org/spreadsheetml/2006/main">
  <authors>
    <author>taige</author>
  </authors>
  <commentList>
    <comment ref="AE19" authorId="0">
      <text>
        <r>
          <rPr>
            <b/>
            <sz val="9"/>
            <color indexed="81"/>
            <rFont val="Tahoma"/>
            <family val="2"/>
          </rPr>
          <t>Stop Intervention if any of these conditions are met</t>
        </r>
      </text>
    </comment>
    <comment ref="K63" authorId="0">
      <text>
        <r>
          <rPr>
            <b/>
            <sz val="9"/>
            <color indexed="81"/>
            <rFont val="Tahoma"/>
            <family val="2"/>
          </rPr>
          <t>If patient has multiple event hists the max value is used.</t>
        </r>
      </text>
    </comment>
  </commentList>
</comments>
</file>

<file path=xl/comments9.xml><?xml version="1.0" encoding="utf-8"?>
<comments xmlns="http://schemas.openxmlformats.org/spreadsheetml/2006/main">
  <authors>
    <author>thou</author>
  </authors>
  <commentList>
    <comment ref="K5" authorId="0">
      <text>
        <r>
          <rPr>
            <b/>
            <sz val="8"/>
            <color indexed="81"/>
            <rFont val="Tahoma"/>
            <family val="2"/>
          </rPr>
          <t>Those who have just quit will count as current smoker until the specified time elapses.</t>
        </r>
      </text>
    </comment>
  </commentList>
</comments>
</file>

<file path=xl/comments10.xml><?xml version="1.0" encoding="utf-8"?>
<comments xmlns="http://schemas.openxmlformats.org/spreadsheetml/2006/main">
  <authors>
    <author>thou</author>
  </authors>
  <commentList>
    <comment ref="M5" authorId="0">
      <text>
        <r>
          <rPr>
            <b/>
            <sz val="8"/>
            <color indexed="81"/>
            <rFont val="Tahoma"/>
            <family val="2"/>
          </rPr>
          <t xml:space="preserve">Those with pre event who are undetected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<sst xmlns="http://schemas.openxmlformats.org/spreadsheetml/2006/main" count="1859" uniqueCount="389">
  <si>
    <t>Population / Cohort Size</t>
  </si>
  <si>
    <t>Annual Discount Factor</t>
  </si>
  <si>
    <t>Random Initial Seed by Curr Time</t>
  </si>
  <si>
    <t>Input / Program Versioning Match</t>
  </si>
  <si>
    <t>LungCancer</t>
  </si>
  <si>
    <t>COPD</t>
  </si>
  <si>
    <t>Stroke</t>
  </si>
  <si>
    <t>OthEvent</t>
  </si>
  <si>
    <t>COSTS</t>
  </si>
  <si>
    <t>COHORT CHARACTERISTICS</t>
  </si>
  <si>
    <t>Mean</t>
  </si>
  <si>
    <t>Std Dev</t>
  </si>
  <si>
    <t>Male</t>
  </si>
  <si>
    <t>Female</t>
  </si>
  <si>
    <t>Smoking Intensity Distribution</t>
  </si>
  <si>
    <t>Light</t>
  </si>
  <si>
    <t>Moderate</t>
  </si>
  <si>
    <t>Heavy</t>
  </si>
  <si>
    <t>Smoking Status Distribution</t>
  </si>
  <si>
    <t>Current</t>
  </si>
  <si>
    <t>Former</t>
  </si>
  <si>
    <t>Monthly quit probability</t>
  </si>
  <si>
    <t>Age</t>
  </si>
  <si>
    <t>SMOKING INITIATION BY NEVER SMOKERS</t>
  </si>
  <si>
    <t>PROPHYLAXIS REGIMENS</t>
  </si>
  <si>
    <t>Number</t>
  </si>
  <si>
    <t>Prophylaxis Name</t>
  </si>
  <si>
    <t>User-Specified Event Types:</t>
  </si>
  <si>
    <t>User Proph 1</t>
  </si>
  <si>
    <t>User Proph 2</t>
  </si>
  <si>
    <t>User Proph 3</t>
  </si>
  <si>
    <t>User Proph 4</t>
  </si>
  <si>
    <t>User Proph 5</t>
  </si>
  <si>
    <t>User Proph 6</t>
  </si>
  <si>
    <t>User Proph 7</t>
  </si>
  <si>
    <t>User Proph 8</t>
  </si>
  <si>
    <t>User Proph 9</t>
  </si>
  <si>
    <t>User Proph 10</t>
  </si>
  <si>
    <t>Tox Prob</t>
  </si>
  <si>
    <t>Prophylaxis Efficacy Multiplier for Events</t>
  </si>
  <si>
    <t>Prophylaxis Efficacy Multiplier for Event Complications</t>
  </si>
  <si>
    <t>Prophylaxis Toxicity</t>
  </si>
  <si>
    <t>0=no,1=yes</t>
  </si>
  <si>
    <t>Intervention Name</t>
  </si>
  <si>
    <t>Intervention 1</t>
  </si>
  <si>
    <t>Intervention 2</t>
  </si>
  <si>
    <t>Intervention 3</t>
  </si>
  <si>
    <t>Intervention 4</t>
  </si>
  <si>
    <t>Intervention 5</t>
  </si>
  <si>
    <t>Intervention 6</t>
  </si>
  <si>
    <t>Intervention 7</t>
  </si>
  <si>
    <t>Intervention 8</t>
  </si>
  <si>
    <t>Intervention 9</t>
  </si>
  <si>
    <t>Intervention 10</t>
  </si>
  <si>
    <t>Intervention Toxicity</t>
  </si>
  <si>
    <t>Patient quits smoking</t>
  </si>
  <si>
    <t>Current smoker</t>
  </si>
  <si>
    <t>Never smokers</t>
  </si>
  <si>
    <t>NatHist</t>
  </si>
  <si>
    <t>Event costs</t>
  </si>
  <si>
    <t>Event complication costs</t>
  </si>
  <si>
    <t>Monthly cost</t>
  </si>
  <si>
    <t>Prophylaxis cost</t>
  </si>
  <si>
    <t>Intervention cost</t>
  </si>
  <si>
    <t>QUALITY-OF-LIFE ADJUSTMENTS</t>
  </si>
  <si>
    <t>Never</t>
  </si>
  <si>
    <t>Base Quality of Life Measures</t>
  </si>
  <si>
    <t>Event Complication Multipliers</t>
  </si>
  <si>
    <t>Proph Toxicity Multipliers</t>
  </si>
  <si>
    <t>Intervention Toxicity Multipliers</t>
  </si>
  <si>
    <t>Multiplier</t>
  </si>
  <si>
    <t>Duration (months)</t>
  </si>
  <si>
    <t>Age Multipliers for Start</t>
  </si>
  <si>
    <t>Event History Multipliers for Start</t>
  </si>
  <si>
    <t>One-Time Probability of Suffering Mortality When Event Occurs</t>
  </si>
  <si>
    <t>One-Time Probability of Suffering Mortality When Event Complication Occurs</t>
  </si>
  <si>
    <t>0a</t>
  </si>
  <si>
    <t>Smoking Intensity</t>
  </si>
  <si>
    <t>Sex</t>
  </si>
  <si>
    <t>Transition 1</t>
  </si>
  <si>
    <t>Transition 2</t>
  </si>
  <si>
    <t>Stopped Smoker Calculator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</si>
  <si>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</si>
  <si>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</si>
  <si>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</si>
  <si>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</si>
  <si>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</si>
  <si>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</si>
  <si>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</si>
  <si>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</si>
  <si>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</si>
  <si>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</si>
  <si>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</si>
  <si>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</si>
  <si>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</si>
  <si>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85+</t>
  </si>
  <si>
    <t>Current Smoker Rate</t>
  </si>
  <si>
    <t>-1 = N/A</t>
  </si>
  <si>
    <t>&lt;20</t>
  </si>
  <si>
    <t>MI</t>
  </si>
  <si>
    <t>Disease</t>
  </si>
  <si>
    <t>Smoking status</t>
  </si>
  <si>
    <t>Smoking intensity</t>
  </si>
  <si>
    <t>Event Complications</t>
  </si>
  <si>
    <t>Recently Quit</t>
  </si>
  <si>
    <t>QOL</t>
  </si>
  <si>
    <t>Monthly background care cost</t>
  </si>
  <si>
    <t>0=off, 1=on</t>
  </si>
  <si>
    <t>&lt;25</t>
  </si>
  <si>
    <t>Age at Quit multipliers (applied to life table below)</t>
  </si>
  <si>
    <t>Age at quit</t>
  </si>
  <si>
    <t>Stop Proph on Tox</t>
  </si>
  <si>
    <t>Age at Quit</t>
  </si>
  <si>
    <t>Multipliers for Current Smokers (applied to Baseline Event Complication Probabilities)</t>
  </si>
  <si>
    <t>HIV</t>
  </si>
  <si>
    <t>Opportunistic Infections</t>
  </si>
  <si>
    <t>CD4 VHI</t>
  </si>
  <si>
    <t>CD4 HI</t>
  </si>
  <si>
    <t>CD4 MHI</t>
  </si>
  <si>
    <t>CD4 MLO</t>
  </si>
  <si>
    <t>CD4 LO</t>
  </si>
  <si>
    <t>CD4 VLO</t>
  </si>
  <si>
    <t>Off ART</t>
  </si>
  <si>
    <t>On ART</t>
  </si>
  <si>
    <t>OI probability, monthly</t>
  </si>
  <si>
    <t>OI death probability</t>
  </si>
  <si>
    <t xml:space="preserve">CD4 and HVL </t>
  </si>
  <si>
    <t>Baseline CD4 decline, monthly</t>
  </si>
  <si>
    <t>HVL VHI</t>
  </si>
  <si>
    <t>HVL HI</t>
  </si>
  <si>
    <t>HVL MHI</t>
  </si>
  <si>
    <t>HVL MED</t>
  </si>
  <si>
    <t>HVL MLO</t>
  </si>
  <si>
    <t>HVL LO</t>
  </si>
  <si>
    <t>HVL VLO</t>
  </si>
  <si>
    <t>Baseline HVL increase, monthly</t>
  </si>
  <si>
    <t>Strata/Mth</t>
  </si>
  <si>
    <t>CD4 Strata Bounds</t>
  </si>
  <si>
    <t>CD4 Count</t>
  </si>
  <si>
    <t>HIV Viral Load (HVL) Strata (per mL)</t>
  </si>
  <si>
    <t>&gt;100000*</t>
  </si>
  <si>
    <t>30000-100000</t>
  </si>
  <si>
    <t>10000-30000</t>
  </si>
  <si>
    <t>3000-10000</t>
  </si>
  <si>
    <t>500-3000</t>
  </si>
  <si>
    <t>20-500</t>
  </si>
  <si>
    <t>0-20*</t>
  </si>
  <si>
    <t>[*optional]</t>
  </si>
  <si>
    <t>Distribution of Initial CD4</t>
  </si>
  <si>
    <t>Square Root Transform  will square the drawn value to get the actual initial cd4</t>
  </si>
  <si>
    <t>Enable Square Root Transform</t>
  </si>
  <si>
    <r>
      <t>0</t>
    </r>
    <r>
      <rPr>
        <sz val="10"/>
        <rFont val="Arial"/>
        <family val="2"/>
      </rPr>
      <t xml:space="preserve"> = no, </t>
    </r>
    <r>
      <rPr>
        <b/>
        <sz val="10"/>
        <rFont val="Arial"/>
        <family val="2"/>
      </rPr>
      <t>1</t>
    </r>
    <r>
      <rPr>
        <sz val="10"/>
        <rFont val="Arial"/>
        <family val="2"/>
      </rPr>
      <t xml:space="preserve"> = yes</t>
    </r>
  </si>
  <si>
    <t>ART</t>
  </si>
  <si>
    <t>ART 1</t>
  </si>
  <si>
    <t>ART 2</t>
  </si>
  <si>
    <t>ART 3</t>
  </si>
  <si>
    <t>ART 4</t>
  </si>
  <si>
    <t>ART 5</t>
  </si>
  <si>
    <t>ART 6</t>
  </si>
  <si>
    <t>ART 7</t>
  </si>
  <si>
    <t>ART 8</t>
  </si>
  <si>
    <t>ART 9</t>
  </si>
  <si>
    <t>ART 10</t>
  </si>
  <si>
    <t>Mth CD4 change on suppressed ART</t>
  </si>
  <si>
    <t>N1 =</t>
  </si>
  <si>
    <t>N2 =</t>
  </si>
  <si>
    <t>Toxicity prob</t>
  </si>
  <si>
    <t>Mean time to tox (mth)</t>
  </si>
  <si>
    <t>Std Dev time to tox (mth)</t>
  </si>
  <si>
    <t>Initial Suppression probability</t>
  </si>
  <si>
    <t>Late Failure probability (monthly)</t>
  </si>
  <si>
    <t>Eff Time Horizon (months)</t>
  </si>
  <si>
    <t>Prob death on tox</t>
  </si>
  <si>
    <t>HVL increase on suppressive ART, strata/month</t>
  </si>
  <si>
    <t>CD4 increase on suppressive ART, monthly, &lt;N1 months</t>
  </si>
  <si>
    <t>CD4 increase on suppressive ART, monthly, ≥N2 months</t>
  </si>
  <si>
    <t>CD4 increase on suppressive ART, monthly, &gt;N1 months, ≤N2 months</t>
  </si>
  <si>
    <t>OI Prophylaxis</t>
  </si>
  <si>
    <t>Proph 1</t>
  </si>
  <si>
    <t>Proph 2</t>
  </si>
  <si>
    <t>Proph 3</t>
  </si>
  <si>
    <t>Proph 4</t>
  </si>
  <si>
    <t>Proph 5</t>
  </si>
  <si>
    <t>Proph 6</t>
  </si>
  <si>
    <t>Proph 7</t>
  </si>
  <si>
    <t>Proph 8</t>
  </si>
  <si>
    <t>Proph 9</t>
  </si>
  <si>
    <t>Proph 10</t>
  </si>
  <si>
    <t>Starting policy</t>
  </si>
  <si>
    <t>CD4 count &lt;</t>
  </si>
  <si>
    <t>Observed OI?</t>
  </si>
  <si>
    <t>Minimum month to start ART</t>
  </si>
  <si>
    <t>Observed Failure</t>
  </si>
  <si>
    <t>HVL strata &gt;</t>
  </si>
  <si>
    <t>Minimum months to failure</t>
  </si>
  <si>
    <t>Observed failure diagnosis</t>
  </si>
  <si>
    <t># successive CD4 tests</t>
  </si>
  <si>
    <t>Confirm CD4 test failure w/HVL test</t>
  </si>
  <si>
    <t># successive HVL tests</t>
  </si>
  <si>
    <t># successive HVL AND CD4 tests</t>
  </si>
  <si>
    <t>Confirm failure due to OI w/CD4 test</t>
  </si>
  <si>
    <t>Confirm failure due to OI w/HVL test</t>
  </si>
  <si>
    <t>ART stopping policy</t>
  </si>
  <si>
    <t>Always</t>
  </si>
  <si>
    <t>Max mths on ART</t>
  </si>
  <si>
    <t>On Tox</t>
  </si>
  <si>
    <t>On Observed Failure</t>
  </si>
  <si>
    <t>Stop immediately</t>
  </si>
  <si>
    <t>Minimum Mth #</t>
  </si>
  <si>
    <t># Mths post-ART initiation</t>
  </si>
  <si>
    <t>Switch to next proph on tox?</t>
  </si>
  <si>
    <t>Proph starting policy</t>
  </si>
  <si>
    <t>CD4 &lt;</t>
  </si>
  <si>
    <t>Proph stopping policy</t>
  </si>
  <si>
    <t>CD4 &gt;</t>
  </si>
  <si>
    <t>Mth after proph initiation</t>
  </si>
  <si>
    <t>Current Mth # is at least</t>
  </si>
  <si>
    <t>Costs</t>
  </si>
  <si>
    <t>ART costs</t>
  </si>
  <si>
    <t>Startup cost</t>
  </si>
  <si>
    <t>LTFU/RTC</t>
  </si>
  <si>
    <t>Probability of going LTFU</t>
  </si>
  <si>
    <t>Probability of returning to care</t>
  </si>
  <si>
    <t>Probability of returning to care upon OI</t>
  </si>
  <si>
    <t>Behavior while lost</t>
  </si>
  <si>
    <t>Probability of remaining on OI proph</t>
  </si>
  <si>
    <t>Proph costs</t>
  </si>
  <si>
    <t>Appointment cost</t>
  </si>
  <si>
    <t>Testing frequency</t>
  </si>
  <si>
    <t>Mths between CD4 test</t>
  </si>
  <si>
    <t>Mths between HVL test</t>
  </si>
  <si>
    <t>N1=</t>
  </si>
  <si>
    <t>N2=</t>
  </si>
  <si>
    <t>(0=no, 1=yes)</t>
  </si>
  <si>
    <t>Chronic AIDS Death Probability, Monthly, Off ART</t>
  </si>
  <si>
    <t>Duration of OI Hist Effect</t>
  </si>
  <si>
    <t>OI Hist</t>
  </si>
  <si>
    <t>No OI Hist</t>
  </si>
  <si>
    <t>Proph hazard ratio</t>
  </si>
  <si>
    <t>Probability of quitting smoking upon RTC if relapsed upon LTFU</t>
  </si>
  <si>
    <t>Probability of stopping smoking intervention upon going LTFU</t>
  </si>
  <si>
    <t>Probability of starting smoking intervention upon RTC if quit upon LTFU</t>
  </si>
  <si>
    <t>Test costs</t>
  </si>
  <si>
    <t>CD4</t>
  </si>
  <si>
    <t>HVL</t>
  </si>
  <si>
    <t>OI treatment cost</t>
  </si>
  <si>
    <t>Tox treatment cost</t>
  </si>
  <si>
    <t>HIV/Smoking Interactions</t>
  </si>
  <si>
    <t>Event rate multipliers for HIV+ patients</t>
  </si>
  <si>
    <t>Event complication rate multipliers for HIV+ patients</t>
  </si>
  <si>
    <t>On/Off</t>
  </si>
  <si>
    <t>Activate HIV module?</t>
  </si>
  <si>
    <t>Distribution of Initial HVL</t>
  </si>
  <si>
    <r>
      <t>Note</t>
    </r>
    <r>
      <rPr>
        <sz val="8"/>
        <rFont val="Arial"/>
        <family val="2"/>
      </rPr>
      <t>: must sum to 1.0</t>
    </r>
  </si>
  <si>
    <t>Smoking quit rate multipliers for HIV+ patients</t>
  </si>
  <si>
    <t>Smoking relapse rate multipliers for HIV+ patients</t>
  </si>
  <si>
    <t>Smoking cessation intervention effectiveness multipliers for HIV+ patients</t>
  </si>
  <si>
    <t>One-time prob of Former smokers relapsing upon going LTFU</t>
  </si>
  <si>
    <t>Are patients CD4 tested upon initiating ART line?</t>
  </si>
  <si>
    <t>Are patients HVL tested upon initiating ART line?</t>
  </si>
  <si>
    <t>For ex-smokers, use multipliers of Never smokers' life tables?</t>
  </si>
  <si>
    <t>Costs/QoL</t>
  </si>
  <si>
    <t>QoL Multipliers</t>
  </si>
  <si>
    <t>QoL for month of OI</t>
  </si>
  <si>
    <t>(-1 = off)</t>
  </si>
  <si>
    <t>Proportion of patients HIV+ at initialization</t>
  </si>
  <si>
    <t>RUN SPECS</t>
  </si>
  <si>
    <t>Prevalent Disease</t>
  </si>
  <si>
    <t>OI probability multipliers</t>
  </si>
  <si>
    <t>Current smokers</t>
  </si>
  <si>
    <t>SMOKING-RELATED EVENTS</t>
  </si>
  <si>
    <t>SMOKING INTERVENTIONS</t>
  </si>
  <si>
    <t>SMOKING QUIT</t>
  </si>
  <si>
    <t>SMOKING RELAPSE</t>
  </si>
  <si>
    <t>Multipliers for Current Smokers (applied to Baseline Pre-Event Probabilities)</t>
  </si>
  <si>
    <t>Probability of moving from Pre-Event to Event</t>
  </si>
  <si>
    <t>SMOKING-RELATED PRE-EVENTS</t>
  </si>
  <si>
    <t>Distribution of Initial Age (in Months)</t>
  </si>
  <si>
    <t>Lower Bound</t>
  </si>
  <si>
    <t>Upper Bound</t>
  </si>
  <si>
    <t>Sex Distribution</t>
  </si>
  <si>
    <t>Max Age (Years)</t>
  </si>
  <si>
    <t>Age(years)</t>
  </si>
  <si>
    <t>Monthly Prob Start Smoking</t>
  </si>
  <si>
    <t>Multipliers for Current Smokers (applied to Baseline)</t>
  </si>
  <si>
    <t>Multipliers for Ex-Smokers (applied to Baseline)</t>
  </si>
  <si>
    <t xml:space="preserve">T1 </t>
  </si>
  <si>
    <t>(mths since quit)</t>
  </si>
  <si>
    <t>T2</t>
  </si>
  <si>
    <t>Time Since Quit for Former Smokers at Initialization (in Months)</t>
  </si>
  <si>
    <t>Monthly Event Incidence Baseline (Never Smokers, No pre-event)</t>
  </si>
  <si>
    <t xml:space="preserve"> </t>
  </si>
  <si>
    <t>Never Smokers Nat Hist</t>
  </si>
  <si>
    <t>Non-Smoking Related Mortality (Never Smokers)</t>
  </si>
  <si>
    <t>Age (years)</t>
  </si>
  <si>
    <t>Ex-Smoker Mortality Multipliers</t>
  </si>
  <si>
    <t>Ex-Smoker Mortality Life Tables</t>
  </si>
  <si>
    <t>Ex Smoker Mortality due to Causes Other than Specific Diseases of Interest</t>
  </si>
  <si>
    <t>Transition points from Current to Stopped to Ex-Smoker</t>
  </si>
  <si>
    <t>Transitions</t>
  </si>
  <si>
    <t>Mortality Mult</t>
  </si>
  <si>
    <t>Ex Smoker Rate</t>
  </si>
  <si>
    <t>Current Smoker Mortality Multipliers</t>
  </si>
  <si>
    <t>Ex-Smokers Nat Hist</t>
  </si>
  <si>
    <t>Stopped Smokers Nat Hist</t>
  </si>
  <si>
    <t>Current Smokers Nat Hist</t>
  </si>
  <si>
    <t>Transition points from Current to Stopped to Ex-Smoker for Event Complications</t>
  </si>
  <si>
    <t>Baseline Event Complication Probabilities (Never Smokers, No pre-event)</t>
  </si>
  <si>
    <t>Baseline Pre-Event Probabilities, monthly (Never Smokers)</t>
  </si>
  <si>
    <t>Pre-Event Mortality and Transitions</t>
  </si>
  <si>
    <t>Pre-Event Monthly Mortality Probability Multipliers (Applied to NatHist Mortality)</t>
  </si>
  <si>
    <t>Pre-Event Screening</t>
  </si>
  <si>
    <t>Tox Dth Prob</t>
  </si>
  <si>
    <t>Allow Restart if Tox?</t>
  </si>
  <si>
    <t>PROPHYLAXIS START</t>
  </si>
  <si>
    <t>Prophylaxis Start Probability (Monthly)</t>
  </si>
  <si>
    <t>Prophylaxis Start Probability (One Time at Init)</t>
  </si>
  <si>
    <t>Age Multipliers for Start Prob</t>
  </si>
  <si>
    <t>Event History Multipliers for Start Prob</t>
  </si>
  <si>
    <t>PROPHYLAXIS STOP</t>
  </si>
  <si>
    <t>Prophylaxis Stop Probability (Monthly)</t>
  </si>
  <si>
    <t>Smoking Status Multipliers for Start Prob</t>
  </si>
  <si>
    <t>Screen Specificity (True Negative Rate)</t>
  </si>
  <si>
    <t>Screen Sensitivity (True Positive Rate)</t>
  </si>
  <si>
    <t>Screening interval(months)</t>
  </si>
  <si>
    <t>Prob skip regular screening</t>
  </si>
  <si>
    <t>Conf test mortality</t>
  </si>
  <si>
    <t>Conf test delay (months)</t>
  </si>
  <si>
    <t>Prob of reverting to neutral status</t>
  </si>
  <si>
    <t>Mult to prob of moving to Event status</t>
  </si>
  <si>
    <t>Outcomes for True Positives Detected</t>
  </si>
  <si>
    <t>Background Screening Probability, Monthly</t>
  </si>
  <si>
    <t>Regular Screening</t>
  </si>
  <si>
    <t>Max regular screens</t>
  </si>
  <si>
    <t>Confirmatory Tests</t>
  </si>
  <si>
    <t xml:space="preserve">             </t>
  </si>
  <si>
    <t>Start smoking intervention</t>
  </si>
  <si>
    <t>Monthly pre-event mortality multiplier</t>
  </si>
  <si>
    <t>-1 = don’t start proph</t>
  </si>
  <si>
    <t xml:space="preserve">Start proph line </t>
  </si>
  <si>
    <t>Relapse Mult</t>
  </si>
  <si>
    <t>Quit Mult</t>
  </si>
  <si>
    <t>Stop on Tox?</t>
  </si>
  <si>
    <t>Ever Restart if Tox</t>
  </si>
  <si>
    <t>Abstinent duration</t>
  </si>
  <si>
    <t>Intervention duration</t>
  </si>
  <si>
    <t>Intervention Efficacy</t>
  </si>
  <si>
    <t>Prob Tox Death</t>
  </si>
  <si>
    <t>Prob Tox</t>
  </si>
  <si>
    <t>INTERVENTION START</t>
  </si>
  <si>
    <t>Intervention Start Probability (Monthly)</t>
  </si>
  <si>
    <t>Intervention Start Probability (One Time at Init)</t>
  </si>
  <si>
    <t>INTERVENTION STOP</t>
  </si>
  <si>
    <t>Intervention Stop Prob (Monthly)</t>
  </si>
  <si>
    <t>Smoking Intervention Stop Rule</t>
  </si>
  <si>
    <t xml:space="preserve">Initial </t>
  </si>
  <si>
    <t xml:space="preserve">Monthly </t>
  </si>
  <si>
    <t>Pre-event Screening costs</t>
  </si>
  <si>
    <t>screen cost</t>
  </si>
  <si>
    <t>pos result</t>
  </si>
  <si>
    <t>neg result</t>
  </si>
  <si>
    <t>detected monthly cost</t>
  </si>
  <si>
    <t xml:space="preserve">conf test </t>
  </si>
  <si>
    <t>Ex smoker</t>
  </si>
  <si>
    <t>Months after quit to count as Ex-smoker</t>
  </si>
  <si>
    <t>Enable QoL</t>
  </si>
  <si>
    <t>EVENT QoL</t>
  </si>
  <si>
    <t>Waiting conf test</t>
  </si>
  <si>
    <t>Screening</t>
  </si>
  <si>
    <t xml:space="preserve">Conf test </t>
  </si>
  <si>
    <t>Detected</t>
  </si>
  <si>
    <t>Undetected</t>
  </si>
  <si>
    <t>Pre-event Multipliers</t>
  </si>
  <si>
    <t>Event Multipliers</t>
  </si>
  <si>
    <t>Init</t>
  </si>
  <si>
    <t>Monthly</t>
  </si>
  <si>
    <t>TOXICITY QoL</t>
  </si>
  <si>
    <r>
      <t>0</t>
    </r>
    <r>
      <rPr>
        <sz val="8"/>
        <rFont val="Arial"/>
        <family val="2"/>
      </rPr>
      <t xml:space="preserve"> = fixed seed, </t>
    </r>
    <r>
      <rPr>
        <b/>
        <sz val="8"/>
        <rFont val="Arial"/>
        <family val="2"/>
      </rPr>
      <t>1</t>
    </r>
    <r>
      <rPr>
        <sz val="8"/>
        <rFont val="Arial"/>
        <family val="2"/>
      </rPr>
      <t xml:space="preserve"> = random seed</t>
    </r>
  </si>
  <si>
    <t>Regular screening start age (years) Never Smoker</t>
  </si>
  <si>
    <t>Regular screening start age(years) Former Smoker</t>
  </si>
  <si>
    <t>Regular screening start age(years) Current Smoker</t>
  </si>
  <si>
    <t>Probability</t>
  </si>
  <si>
    <t>Event-Related Monthly Quit Probabilities</t>
  </si>
  <si>
    <t>Event Complication-Related Monthly Quit Probabilities</t>
  </si>
  <si>
    <t>Relapse Rate Coefficients</t>
  </si>
  <si>
    <t>C</t>
  </si>
  <si>
    <t>b</t>
  </si>
  <si>
    <r>
      <t>The monthly relapse prob is determined by P=C*e</t>
    </r>
    <r>
      <rPr>
        <vertAlign val="superscript"/>
        <sz val="12"/>
        <color theme="1"/>
        <rFont val="Arial"/>
        <family val="2"/>
      </rPr>
      <t xml:space="preserve">bt </t>
    </r>
    <r>
      <rPr>
        <sz val="12"/>
        <color theme="1"/>
        <rFont val="Arial"/>
        <family val="2"/>
      </rPr>
      <t>where t is the number of months since quit</t>
    </r>
  </si>
  <si>
    <t>Cannot relapse in the same month they quit</t>
  </si>
</sst>
</file>

<file path=xl/styles.xml><?xml version="1.0" encoding="utf-8"?>
<styleSheet xmlns="http://schemas.openxmlformats.org/spreadsheetml/2006/main">
  <numFmts count="4">
    <numFmt numFmtId="164" formatCode="0.000000"/>
    <numFmt numFmtId="165" formatCode="0.0"/>
    <numFmt numFmtId="166" formatCode="0.0000"/>
    <numFmt numFmtId="167" formatCode="0.000"/>
  </numFmts>
  <fonts count="29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1"/>
      <color rgb="FF0000FF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sz val="10"/>
      <color indexed="81"/>
      <name val="Calibri"/>
      <family val="2"/>
    </font>
    <font>
      <b/>
      <sz val="10"/>
      <color indexed="81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1"/>
      <name val="Arial"/>
      <family val="2"/>
    </font>
    <font>
      <vertAlign val="superscript"/>
      <sz val="12"/>
      <color theme="1"/>
      <name val="Arial"/>
      <family val="2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70">
    <xf numFmtId="0" fontId="0" fillId="0" borderId="0"/>
    <xf numFmtId="0" fontId="5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208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2" fillId="0" borderId="1" xfId="0" applyFont="1" applyBorder="1"/>
    <xf numFmtId="0" fontId="2" fillId="2" borderId="1" xfId="0" applyFont="1" applyFill="1" applyBorder="1"/>
    <xf numFmtId="3" fontId="6" fillId="0" borderId="1" xfId="0" applyNumberFormat="1" applyFont="1" applyBorder="1"/>
    <xf numFmtId="9" fontId="6" fillId="0" borderId="1" xfId="0" applyNumberFormat="1" applyFont="1" applyBorder="1"/>
    <xf numFmtId="0" fontId="6" fillId="0" borderId="1" xfId="0" applyFont="1" applyBorder="1"/>
    <xf numFmtId="0" fontId="2" fillId="2" borderId="0" xfId="0" applyFont="1" applyFill="1"/>
    <xf numFmtId="0" fontId="10" fillId="0" borderId="0" xfId="0" applyFont="1"/>
    <xf numFmtId="0" fontId="5" fillId="0" borderId="0" xfId="0" applyFont="1"/>
    <xf numFmtId="0" fontId="3" fillId="0" borderId="0" xfId="0" applyFont="1"/>
    <xf numFmtId="0" fontId="11" fillId="0" borderId="4" xfId="0" applyFont="1" applyBorder="1"/>
    <xf numFmtId="0" fontId="12" fillId="0" borderId="4" xfId="0" applyFont="1" applyBorder="1"/>
    <xf numFmtId="0" fontId="2" fillId="0" borderId="4" xfId="0" applyFont="1" applyBorder="1"/>
    <xf numFmtId="0" fontId="6" fillId="2" borderId="1" xfId="0" applyFont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6" fillId="0" borderId="0" xfId="0" applyFont="1" applyBorder="1"/>
    <xf numFmtId="0" fontId="6" fillId="0" borderId="1" xfId="0" applyFont="1" applyBorder="1" applyAlignment="1"/>
    <xf numFmtId="0" fontId="11" fillId="0" borderId="0" xfId="0" applyFont="1" applyBorder="1"/>
    <xf numFmtId="0" fontId="12" fillId="0" borderId="0" xfId="0" applyFont="1" applyBorder="1"/>
    <xf numFmtId="0" fontId="1" fillId="0" borderId="4" xfId="0" applyFont="1" applyBorder="1"/>
    <xf numFmtId="0" fontId="5" fillId="0" borderId="0" xfId="0" applyFont="1" applyFill="1"/>
    <xf numFmtId="164" fontId="9" fillId="0" borderId="1" xfId="1" applyNumberFormat="1" applyFont="1" applyFill="1" applyBorder="1" applyProtection="1">
      <protection locked="0"/>
    </xf>
    <xf numFmtId="0" fontId="1" fillId="2" borderId="0" xfId="0" applyFont="1" applyFill="1"/>
    <xf numFmtId="0" fontId="1" fillId="0" borderId="0" xfId="0" applyFont="1" applyBorder="1"/>
    <xf numFmtId="164" fontId="9" fillId="0" borderId="0" xfId="1" applyNumberFormat="1" applyFont="1" applyFill="1" applyBorder="1" applyProtection="1">
      <protection locked="0"/>
    </xf>
    <xf numFmtId="164" fontId="9" fillId="0" borderId="5" xfId="1" applyNumberFormat="1" applyFont="1" applyFill="1" applyBorder="1" applyProtection="1">
      <protection locked="0"/>
    </xf>
    <xf numFmtId="0" fontId="8" fillId="0" borderId="0" xfId="0" applyFont="1" applyFill="1" applyAlignment="1"/>
    <xf numFmtId="0" fontId="2" fillId="2" borderId="4" xfId="0" applyFont="1" applyFill="1" applyBorder="1"/>
    <xf numFmtId="2" fontId="6" fillId="0" borderId="1" xfId="0" applyNumberFormat="1" applyFont="1" applyBorder="1"/>
    <xf numFmtId="0" fontId="12" fillId="0" borderId="4" xfId="0" applyFont="1" applyFill="1" applyBorder="1"/>
    <xf numFmtId="0" fontId="12" fillId="2" borderId="4" xfId="0" applyFont="1" applyFill="1" applyBorder="1"/>
    <xf numFmtId="0" fontId="1" fillId="0" borderId="0" xfId="0" applyFont="1" applyAlignment="1"/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Alignment="1"/>
    <xf numFmtId="165" fontId="6" fillId="0" borderId="1" xfId="0" applyNumberFormat="1" applyFont="1" applyBorder="1"/>
    <xf numFmtId="0" fontId="2" fillId="0" borderId="0" xfId="0" applyFont="1" applyFill="1" applyBorder="1"/>
    <xf numFmtId="0" fontId="11" fillId="0" borderId="4" xfId="0" applyFont="1" applyFill="1" applyBorder="1"/>
    <xf numFmtId="0" fontId="1" fillId="0" borderId="0" xfId="0" applyFont="1" applyFill="1"/>
    <xf numFmtId="0" fontId="1" fillId="0" borderId="0" xfId="0" applyFont="1" applyFill="1" applyBorder="1"/>
    <xf numFmtId="0" fontId="2" fillId="0" borderId="0" xfId="0" applyFont="1" applyFill="1"/>
    <xf numFmtId="0" fontId="2" fillId="0" borderId="13" xfId="0" applyFont="1" applyBorder="1"/>
    <xf numFmtId="0" fontId="2" fillId="0" borderId="15" xfId="0" applyFont="1" applyBorder="1"/>
    <xf numFmtId="0" fontId="1" fillId="0" borderId="15" xfId="0" applyFont="1" applyBorder="1"/>
    <xf numFmtId="0" fontId="1" fillId="0" borderId="16" xfId="0" applyFont="1" applyBorder="1"/>
    <xf numFmtId="0" fontId="3" fillId="0" borderId="0" xfId="0" applyFont="1" applyBorder="1" applyAlignment="1"/>
    <xf numFmtId="164" fontId="6" fillId="2" borderId="0" xfId="0" applyNumberFormat="1" applyFont="1" applyFill="1" applyBorder="1"/>
    <xf numFmtId="0" fontId="2" fillId="0" borderId="0" xfId="0" applyFont="1" applyBorder="1" applyAlignment="1"/>
    <xf numFmtId="0" fontId="2" fillId="0" borderId="9" xfId="0" applyFont="1" applyBorder="1" applyAlignment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4" xfId="0" applyFont="1" applyBorder="1"/>
    <xf numFmtId="17" fontId="2" fillId="0" borderId="0" xfId="0" applyNumberFormat="1" applyFont="1"/>
    <xf numFmtId="0" fontId="6" fillId="0" borderId="0" xfId="0" applyFont="1" applyFill="1" applyBorder="1"/>
    <xf numFmtId="0" fontId="6" fillId="0" borderId="0" xfId="0" applyFont="1" applyBorder="1" applyAlignment="1"/>
    <xf numFmtId="49" fontId="8" fillId="0" borderId="0" xfId="0" applyNumberFormat="1" applyFont="1" applyFill="1" applyAlignment="1"/>
    <xf numFmtId="0" fontId="13" fillId="0" borderId="0" xfId="0" applyFont="1"/>
    <xf numFmtId="165" fontId="6" fillId="2" borderId="0" xfId="0" applyNumberFormat="1" applyFont="1" applyFill="1" applyBorder="1"/>
    <xf numFmtId="165" fontId="6" fillId="0" borderId="0" xfId="0" applyNumberFormat="1" applyFont="1" applyBorder="1"/>
    <xf numFmtId="0" fontId="5" fillId="0" borderId="0" xfId="0" applyFont="1" applyFill="1" applyBorder="1"/>
    <xf numFmtId="165" fontId="1" fillId="0" borderId="0" xfId="0" applyNumberFormat="1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/>
    <xf numFmtId="0" fontId="5" fillId="0" borderId="1" xfId="0" applyFont="1" applyFill="1" applyBorder="1"/>
    <xf numFmtId="166" fontId="9" fillId="0" borderId="1" xfId="0" applyNumberFormat="1" applyFont="1" applyFill="1" applyBorder="1" applyProtection="1">
      <protection locked="0"/>
    </xf>
    <xf numFmtId="0" fontId="5" fillId="0" borderId="5" xfId="0" applyFont="1" applyFill="1" applyBorder="1"/>
    <xf numFmtId="1" fontId="9" fillId="0" borderId="1" xfId="0" applyNumberFormat="1" applyFont="1" applyFill="1" applyBorder="1" applyProtection="1">
      <protection locked="0"/>
    </xf>
    <xf numFmtId="0" fontId="15" fillId="0" borderId="0" xfId="0" applyFont="1" applyAlignment="1">
      <alignment horizontal="right"/>
    </xf>
    <xf numFmtId="0" fontId="5" fillId="3" borderId="2" xfId="0" applyFont="1" applyFill="1" applyBorder="1"/>
    <xf numFmtId="0" fontId="5" fillId="3" borderId="18" xfId="0" applyFont="1" applyFill="1" applyBorder="1"/>
    <xf numFmtId="0" fontId="5" fillId="3" borderId="3" xfId="0" applyFont="1" applyFill="1" applyBorder="1"/>
    <xf numFmtId="0" fontId="16" fillId="0" borderId="8" xfId="0" applyFont="1" applyFill="1" applyBorder="1"/>
    <xf numFmtId="0" fontId="5" fillId="0" borderId="6" xfId="0" applyFont="1" applyFill="1" applyBorder="1"/>
    <xf numFmtId="0" fontId="16" fillId="0" borderId="19" xfId="0" applyFont="1" applyFill="1" applyBorder="1"/>
    <xf numFmtId="0" fontId="5" fillId="0" borderId="4" xfId="0" applyFont="1" applyFill="1" applyBorder="1"/>
    <xf numFmtId="0" fontId="9" fillId="0" borderId="1" xfId="0" applyFont="1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5" fillId="0" borderId="7" xfId="0" applyFont="1" applyFill="1" applyBorder="1"/>
    <xf numFmtId="166" fontId="5" fillId="0" borderId="0" xfId="0" applyNumberFormat="1" applyFont="1" applyFill="1" applyBorder="1" applyProtection="1">
      <protection locked="0"/>
    </xf>
    <xf numFmtId="0" fontId="10" fillId="0" borderId="0" xfId="0" applyFont="1" applyFill="1" applyAlignment="1"/>
    <xf numFmtId="0" fontId="5" fillId="0" borderId="17" xfId="0" applyFont="1" applyFill="1" applyBorder="1"/>
    <xf numFmtId="0" fontId="2" fillId="0" borderId="4" xfId="0" applyFont="1" applyFill="1" applyBorder="1"/>
    <xf numFmtId="0" fontId="14" fillId="0" borderId="0" xfId="0" applyFont="1" applyFill="1"/>
    <xf numFmtId="0" fontId="5" fillId="0" borderId="0" xfId="0" applyFont="1" applyAlignment="1">
      <alignment horizontal="left"/>
    </xf>
    <xf numFmtId="0" fontId="17" fillId="0" borderId="1" xfId="0" applyFont="1" applyBorder="1"/>
    <xf numFmtId="0" fontId="6" fillId="0" borderId="0" xfId="0" applyFont="1"/>
    <xf numFmtId="164" fontId="9" fillId="0" borderId="1" xfId="0" applyNumberFormat="1" applyFont="1" applyFill="1" applyBorder="1" applyProtection="1">
      <protection locked="0"/>
    </xf>
    <xf numFmtId="0" fontId="2" fillId="0" borderId="19" xfId="0" applyFont="1" applyBorder="1"/>
    <xf numFmtId="0" fontId="2" fillId="0" borderId="7" xfId="0" applyFont="1" applyBorder="1"/>
    <xf numFmtId="0" fontId="6" fillId="0" borderId="1" xfId="0" applyFont="1" applyBorder="1" applyAlignment="1">
      <alignment horizontal="right"/>
    </xf>
    <xf numFmtId="166" fontId="18" fillId="0" borderId="0" xfId="0" applyNumberFormat="1" applyFont="1" applyProtection="1"/>
    <xf numFmtId="166" fontId="7" fillId="0" borderId="0" xfId="0" applyNumberFormat="1" applyFont="1" applyFill="1" applyBorder="1"/>
    <xf numFmtId="0" fontId="2" fillId="0" borderId="0" xfId="0" applyFont="1" applyAlignment="1">
      <alignment horizontal="right"/>
    </xf>
    <xf numFmtId="0" fontId="2" fillId="0" borderId="0" xfId="0" applyFont="1" applyBorder="1" applyAlignment="1">
      <alignment horizontal="right"/>
    </xf>
    <xf numFmtId="167" fontId="9" fillId="0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0" fontId="1" fillId="0" borderId="0" xfId="0" applyFont="1" applyProtection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49" fontId="2" fillId="0" borderId="0" xfId="0" applyNumberFormat="1" applyFont="1"/>
    <xf numFmtId="0" fontId="2" fillId="0" borderId="0" xfId="0" applyFont="1" applyAlignment="1">
      <alignment horizontal="center" vertical="center"/>
    </xf>
    <xf numFmtId="0" fontId="12" fillId="4" borderId="4" xfId="0" applyFont="1" applyFill="1" applyBorder="1"/>
    <xf numFmtId="0" fontId="0" fillId="4" borderId="0" xfId="0" applyFill="1"/>
    <xf numFmtId="0" fontId="3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12" fillId="5" borderId="4" xfId="0" applyFont="1" applyFill="1" applyBorder="1"/>
    <xf numFmtId="0" fontId="12" fillId="5" borderId="0" xfId="0" applyFont="1" applyFill="1" applyBorder="1"/>
    <xf numFmtId="0" fontId="2" fillId="5" borderId="0" xfId="0" applyFont="1" applyFill="1"/>
    <xf numFmtId="0" fontId="2" fillId="5" borderId="4" xfId="0" applyFont="1" applyFill="1" applyBorder="1"/>
    <xf numFmtId="0" fontId="6" fillId="0" borderId="1" xfId="0" applyFont="1" applyFill="1" applyBorder="1" applyAlignment="1" applyProtection="1">
      <alignment horizontal="center"/>
      <protection locked="0"/>
    </xf>
    <xf numFmtId="0" fontId="2" fillId="0" borderId="1" xfId="0" applyFont="1" applyFill="1" applyBorder="1" applyAlignment="1" applyProtection="1">
      <alignment horizontal="left"/>
      <protection locked="0"/>
    </xf>
    <xf numFmtId="0" fontId="1" fillId="6" borderId="4" xfId="0" applyFont="1" applyFill="1" applyBorder="1"/>
    <xf numFmtId="0" fontId="1" fillId="6" borderId="0" xfId="0" applyFont="1" applyFill="1" applyBorder="1"/>
    <xf numFmtId="0" fontId="2" fillId="6" borderId="0" xfId="0" applyFont="1" applyFill="1" applyBorder="1"/>
    <xf numFmtId="0" fontId="3" fillId="6" borderId="0" xfId="0" applyFont="1" applyFill="1" applyBorder="1"/>
    <xf numFmtId="0" fontId="3" fillId="0" borderId="0" xfId="0" applyFont="1" applyAlignment="1">
      <alignment horizontal="left"/>
    </xf>
    <xf numFmtId="0" fontId="1" fillId="0" borderId="0" xfId="0" applyFont="1" applyBorder="1" applyAlignment="1"/>
    <xf numFmtId="165" fontId="6" fillId="0" borderId="1" xfId="0" applyNumberFormat="1" applyFont="1" applyBorder="1" applyAlignment="1"/>
    <xf numFmtId="17" fontId="2" fillId="0" borderId="0" xfId="0" applyNumberFormat="1" applyFont="1" applyAlignment="1"/>
    <xf numFmtId="0" fontId="2" fillId="0" borderId="0" xfId="0" applyFont="1" applyFill="1" applyAlignment="1"/>
    <xf numFmtId="0" fontId="2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17" fontId="2" fillId="0" borderId="0" xfId="0" applyNumberFormat="1" applyFont="1" applyFill="1" applyAlignment="1"/>
    <xf numFmtId="165" fontId="6" fillId="0" borderId="1" xfId="0" applyNumberFormat="1" applyFont="1" applyFill="1" applyBorder="1" applyAlignment="1"/>
    <xf numFmtId="0" fontId="1" fillId="0" borderId="0" xfId="0" applyFont="1" applyFill="1" applyAlignment="1"/>
    <xf numFmtId="0" fontId="2" fillId="0" borderId="0" xfId="0" applyFont="1" applyFill="1" applyBorder="1" applyAlignment="1"/>
    <xf numFmtId="1" fontId="9" fillId="0" borderId="1" xfId="1" applyNumberFormat="1" applyFont="1" applyFill="1" applyBorder="1" applyProtection="1">
      <protection locked="0"/>
    </xf>
    <xf numFmtId="0" fontId="1" fillId="7" borderId="0" xfId="0" applyFont="1" applyFill="1" applyBorder="1"/>
    <xf numFmtId="0" fontId="1" fillId="7" borderId="0" xfId="0" applyFont="1" applyFill="1"/>
    <xf numFmtId="0" fontId="1" fillId="8" borderId="0" xfId="0" applyFont="1" applyFill="1" applyBorder="1"/>
    <xf numFmtId="0" fontId="2" fillId="8" borderId="0" xfId="0" applyFont="1" applyFill="1" applyBorder="1" applyAlignment="1">
      <alignment horizontal="left"/>
    </xf>
    <xf numFmtId="0" fontId="1" fillId="8" borderId="0" xfId="0" applyFont="1" applyFill="1"/>
    <xf numFmtId="1" fontId="6" fillId="2" borderId="0" xfId="0" applyNumberFormat="1" applyFont="1" applyFill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/>
    <xf numFmtId="0" fontId="1" fillId="0" borderId="0" xfId="0" applyFont="1" applyBorder="1" applyAlignment="1">
      <alignment horizontal="left"/>
    </xf>
    <xf numFmtId="0" fontId="8" fillId="0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/>
    </xf>
    <xf numFmtId="17" fontId="2" fillId="0" borderId="0" xfId="0" applyNumberFormat="1" applyFont="1" applyAlignment="1">
      <alignment horizontal="left"/>
    </xf>
    <xf numFmtId="0" fontId="2" fillId="0" borderId="0" xfId="0" applyFont="1" applyFill="1" applyAlignment="1">
      <alignment horizontal="left"/>
    </xf>
    <xf numFmtId="0" fontId="5" fillId="0" borderId="0" xfId="0" applyFont="1" applyFill="1" applyAlignment="1"/>
    <xf numFmtId="164" fontId="9" fillId="0" borderId="1" xfId="1" applyNumberFormat="1" applyFont="1" applyFill="1" applyBorder="1" applyAlignment="1" applyProtection="1">
      <protection locked="0"/>
    </xf>
    <xf numFmtId="165" fontId="9" fillId="0" borderId="1" xfId="1" applyNumberFormat="1" applyFont="1" applyFill="1" applyBorder="1" applyAlignment="1" applyProtection="1">
      <protection locked="0"/>
    </xf>
    <xf numFmtId="0" fontId="12" fillId="9" borderId="4" xfId="0" applyFont="1" applyFill="1" applyBorder="1"/>
    <xf numFmtId="0" fontId="2" fillId="9" borderId="0" xfId="0" applyFont="1" applyFill="1"/>
    <xf numFmtId="0" fontId="12" fillId="10" borderId="4" xfId="0" applyFont="1" applyFill="1" applyBorder="1"/>
    <xf numFmtId="0" fontId="2" fillId="10" borderId="0" xfId="0" applyFont="1" applyFill="1"/>
    <xf numFmtId="0" fontId="2" fillId="2" borderId="1" xfId="0" applyFont="1" applyFill="1" applyBorder="1" applyAlignment="1"/>
    <xf numFmtId="0" fontId="3" fillId="0" borderId="0" xfId="0" applyFont="1" applyFill="1" applyBorder="1" applyAlignment="1"/>
    <xf numFmtId="0" fontId="12" fillId="11" borderId="4" xfId="0" applyFont="1" applyFill="1" applyBorder="1"/>
    <xf numFmtId="0" fontId="2" fillId="11" borderId="0" xfId="0" applyFont="1" applyFill="1"/>
    <xf numFmtId="0" fontId="6" fillId="11" borderId="0" xfId="0" applyFont="1" applyFill="1" applyBorder="1" applyAlignment="1"/>
    <xf numFmtId="0" fontId="2" fillId="11" borderId="0" xfId="0" applyFont="1" applyFill="1" applyAlignment="1"/>
    <xf numFmtId="0" fontId="2" fillId="11" borderId="0" xfId="0" applyFont="1" applyFill="1" applyBorder="1" applyAlignme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6" xfId="0" applyFont="1" applyBorder="1" applyAlignment="1">
      <alignment horizontal="right"/>
    </xf>
    <xf numFmtId="0" fontId="6" fillId="2" borderId="2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12" fillId="12" borderId="4" xfId="0" applyFont="1" applyFill="1" applyBorder="1"/>
    <xf numFmtId="0" fontId="2" fillId="12" borderId="0" xfId="0" applyFont="1" applyFill="1"/>
    <xf numFmtId="0" fontId="11" fillId="0" borderId="4" xfId="0" applyFont="1" applyBorder="1" applyAlignment="1"/>
    <xf numFmtId="0" fontId="11" fillId="0" borderId="4" xfId="0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12" fillId="0" borderId="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1" fillId="13" borderId="4" xfId="0" applyFont="1" applyFill="1" applyBorder="1"/>
    <xf numFmtId="0" fontId="2" fillId="13" borderId="0" xfId="0" applyFont="1" applyFill="1"/>
    <xf numFmtId="0" fontId="12" fillId="14" borderId="4" xfId="0" applyFont="1" applyFill="1" applyBorder="1"/>
    <xf numFmtId="0" fontId="2" fillId="14" borderId="0" xfId="0" applyFont="1" applyFill="1"/>
    <xf numFmtId="0" fontId="7" fillId="0" borderId="0" xfId="0" applyFont="1" applyAlignment="1">
      <alignment horizontal="left"/>
    </xf>
    <xf numFmtId="0" fontId="26" fillId="0" borderId="0" xfId="0" applyFont="1"/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0" xfId="0" applyFont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5" fillId="0" borderId="6" xfId="0" applyFont="1" applyFill="1" applyBorder="1" applyAlignment="1">
      <alignment vertical="center"/>
    </xf>
    <xf numFmtId="0" fontId="2" fillId="0" borderId="8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5" fillId="0" borderId="6" xfId="0" applyFont="1" applyBorder="1" applyAlignment="1">
      <alignment horizontal="right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Normal 3 2" xfId="1"/>
  </cellStyles>
  <dxfs count="5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NatHist!$AA$52:$AA$54</c:f>
              <c:numCache>
                <c:formatCode>0</c:formatCode>
                <c:ptCount val="3"/>
                <c:pt idx="0">
                  <c:v>0</c:v>
                </c:pt>
                <c:pt idx="1">
                  <c:v>12</c:v>
                </c:pt>
                <c:pt idx="2">
                  <c:v>60</c:v>
                </c:pt>
              </c:numCache>
            </c:numRef>
          </c:xVal>
          <c:yVal>
            <c:numRef>
              <c:f>NatHist!$Z$52:$Z$54</c:f>
              <c:numCache>
                <c:formatCode>0.000000</c:formatCode>
                <c:ptCount val="3"/>
                <c:pt idx="0">
                  <c:v>6.4338401109953502E-4</c:v>
                </c:pt>
                <c:pt idx="1">
                  <c:v>6.4338401109953502E-4</c:v>
                </c:pt>
                <c:pt idx="2">
                  <c:v>3.0882432532777679E-4</c:v>
                </c:pt>
              </c:numCache>
            </c:numRef>
          </c:yVal>
        </c:ser>
        <c:axId val="114920448"/>
        <c:axId val="113837184"/>
      </c:scatterChart>
      <c:valAx>
        <c:axId val="11492044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Month since Smoking Quit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3837184"/>
        <c:crosses val="autoZero"/>
        <c:crossBetween val="midCat"/>
      </c:valAx>
      <c:valAx>
        <c:axId val="1138371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Stopped</a:t>
                </a:r>
                <a:r>
                  <a:rPr lang="en-US" baseline="0">
                    <a:latin typeface="Arial" panose="020B0604020202020204" pitchFamily="34" charset="0"/>
                    <a:cs typeface="Arial" panose="020B0604020202020204" pitchFamily="34" charset="0"/>
                  </a:rPr>
                  <a:t> Smoker Non-Event Death Probability, Monthly</a:t>
                </a:r>
                <a:endParaRPr 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0.0E+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92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22" l="0.70000000000000118" r="0.70000000000000118" t="0.750000000000002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NatHist!$AA$27:$AA$29</c:f>
              <c:numCache>
                <c:formatCode>0</c:formatCode>
                <c:ptCount val="3"/>
                <c:pt idx="0">
                  <c:v>0</c:v>
                </c:pt>
                <c:pt idx="1">
                  <c:v>12</c:v>
                </c:pt>
                <c:pt idx="2">
                  <c:v>60</c:v>
                </c:pt>
              </c:numCache>
            </c:numRef>
          </c:xVal>
          <c:yVal>
            <c:numRef>
              <c:f>NatHist!$Z$27:$Z$29</c:f>
              <c:numCache>
                <c:formatCode>0.0</c:formatCode>
                <c:ptCount val="3"/>
                <c:pt idx="0">
                  <c:v>1.6</c:v>
                </c:pt>
                <c:pt idx="1">
                  <c:v>1.6</c:v>
                </c:pt>
                <c:pt idx="2">
                  <c:v>1.3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243-492E-B9B0-8C9C1FCF1250}"/>
            </c:ext>
          </c:extLst>
        </c:ser>
        <c:axId val="113861376"/>
        <c:axId val="113863296"/>
      </c:scatterChart>
      <c:valAx>
        <c:axId val="11386137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Arial" panose="020B0604020202020204" pitchFamily="34" charset="0"/>
                    <a:cs typeface="Arial" panose="020B0604020202020204" pitchFamily="34" charset="0"/>
                  </a:rPr>
                  <a:t>Months since Smoking</a:t>
                </a:r>
                <a:r>
                  <a:rPr lang="en-US" b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 Quit</a:t>
                </a:r>
                <a:endParaRPr lang="en-US" b="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3863296"/>
        <c:crosses val="autoZero"/>
        <c:crossBetween val="midCat"/>
      </c:valAx>
      <c:valAx>
        <c:axId val="1138632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baseline="0">
                    <a:effectLst/>
                    <a:latin typeface="Arial" panose="020B0604020202020204" pitchFamily="34" charset="0"/>
                    <a:cs typeface="Arial" panose="020B0604020202020204" pitchFamily="34" charset="0"/>
                  </a:rPr>
                  <a:t>Stopped Smoker Non-Event Death Multiplier, Monthly</a:t>
                </a:r>
                <a:endParaRPr lang="en-US" sz="1000">
                  <a:effectLst/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9255319148936209E-2"/>
              <c:y val="5.4726368159204015E-2"/>
            </c:manualLayout>
          </c:layout>
        </c:title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386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22" l="0.70000000000000118" r="0.70000000000000118" t="0.750000000000001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33</xdr:row>
      <xdr:rowOff>14287</xdr:rowOff>
    </xdr:from>
    <xdr:to>
      <xdr:col>27</xdr:col>
      <xdr:colOff>600075</xdr:colOff>
      <xdr:row>48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38099</xdr:colOff>
      <xdr:row>9</xdr:row>
      <xdr:rowOff>38100</xdr:rowOff>
    </xdr:from>
    <xdr:to>
      <xdr:col>27</xdr:col>
      <xdr:colOff>609600</xdr:colOff>
      <xdr:row>22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G19"/>
  <sheetViews>
    <sheetView tabSelected="1" workbookViewId="0">
      <selection activeCell="I18" sqref="I18"/>
    </sheetView>
  </sheetViews>
  <sheetFormatPr defaultColWidth="9.140625" defaultRowHeight="12.75"/>
  <cols>
    <col min="1" max="1" width="2.85546875" style="2" customWidth="1"/>
    <col min="2" max="2" width="10.85546875" style="2" customWidth="1"/>
    <col min="3" max="5" width="9.140625" style="2"/>
    <col min="6" max="6" width="9.42578125" style="2" customWidth="1"/>
    <col min="7" max="8" width="9.140625" style="2"/>
    <col min="9" max="9" width="6.7109375" style="2" customWidth="1"/>
    <col min="10" max="16384" width="9.140625" style="2"/>
  </cols>
  <sheetData>
    <row r="1" spans="1:7" s="14" customFormat="1" ht="20.25">
      <c r="A1" s="13" t="s">
        <v>266</v>
      </c>
    </row>
    <row r="2" spans="1:7" ht="12.75" customHeight="1"/>
    <row r="3" spans="1:7">
      <c r="A3" s="2" t="s">
        <v>0</v>
      </c>
      <c r="D3" s="6">
        <v>100</v>
      </c>
    </row>
    <row r="4" spans="1:7">
      <c r="A4" s="2" t="s">
        <v>1</v>
      </c>
      <c r="D4" s="7">
        <v>0.03</v>
      </c>
      <c r="E4" s="5">
        <f>POWER(1+D4, 1/12)</f>
        <v>1.0024662697723037</v>
      </c>
    </row>
    <row r="6" spans="1:7">
      <c r="A6" s="2" t="s">
        <v>2</v>
      </c>
      <c r="E6" s="8">
        <v>1</v>
      </c>
      <c r="F6" s="193" t="s">
        <v>377</v>
      </c>
    </row>
    <row r="9" spans="1:7">
      <c r="A9" s="2" t="s">
        <v>3</v>
      </c>
      <c r="E9" s="5" t="s">
        <v>76</v>
      </c>
    </row>
    <row r="11" spans="1:7">
      <c r="A11" s="2" t="s">
        <v>27</v>
      </c>
    </row>
    <row r="12" spans="1:7">
      <c r="B12" s="8" t="s">
        <v>4</v>
      </c>
      <c r="F12" s="40"/>
      <c r="G12" s="40"/>
    </row>
    <row r="13" spans="1:7">
      <c r="B13" s="8" t="s">
        <v>5</v>
      </c>
    </row>
    <row r="14" spans="1:7">
      <c r="B14" s="8" t="s">
        <v>99</v>
      </c>
    </row>
    <row r="15" spans="1:7">
      <c r="B15" s="8" t="s">
        <v>6</v>
      </c>
    </row>
    <row r="16" spans="1:7">
      <c r="B16" s="8" t="s">
        <v>7</v>
      </c>
    </row>
    <row r="18" spans="1:2" ht="14.25">
      <c r="A18" s="2" t="s">
        <v>281</v>
      </c>
      <c r="B18" s="1"/>
    </row>
    <row r="19" spans="1:2" ht="14.25">
      <c r="A19" s="42"/>
      <c r="B19" s="8">
        <v>100</v>
      </c>
    </row>
  </sheetData>
  <dataValidations count="1">
    <dataValidation type="list" allowBlank="1" showInputMessage="1" showErrorMessage="1" sqref="E6">
      <formula1>"0,1"</formula1>
    </dataValidation>
  </dataValidations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AT103"/>
  <sheetViews>
    <sheetView topLeftCell="Q1" workbookViewId="0">
      <selection activeCell="AC3" sqref="AC3"/>
    </sheetView>
  </sheetViews>
  <sheetFormatPr defaultColWidth="9.140625" defaultRowHeight="15"/>
  <cols>
    <col min="1" max="1" width="9.140625" style="2"/>
    <col min="2" max="2" width="13.140625" style="2" customWidth="1"/>
    <col min="3" max="5" width="9.140625" style="2"/>
    <col min="18" max="18" width="3.85546875" customWidth="1"/>
    <col min="19" max="19" width="3.42578125" customWidth="1"/>
    <col min="20" max="20" width="2.7109375" style="109" customWidth="1"/>
    <col min="21" max="21" width="6.85546875" customWidth="1"/>
    <col min="22" max="22" width="11.28515625" customWidth="1"/>
    <col min="23" max="23" width="14" customWidth="1"/>
    <col min="24" max="24" width="17" customWidth="1"/>
    <col min="25" max="25" width="10.7109375" customWidth="1"/>
    <col min="26" max="39" width="10.7109375" style="2" customWidth="1"/>
    <col min="40" max="16384" width="9.140625" style="2"/>
  </cols>
  <sheetData>
    <row r="1" spans="1:46" s="14" customFormat="1" ht="20.25">
      <c r="A1" s="13" t="s">
        <v>9</v>
      </c>
      <c r="B1" s="13"/>
      <c r="C1" s="13"/>
      <c r="D1" s="13"/>
      <c r="E1" s="13"/>
      <c r="T1" s="108"/>
      <c r="U1" s="13" t="s">
        <v>267</v>
      </c>
    </row>
    <row r="2" spans="1:46" ht="12.75" customHeight="1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U2" s="2"/>
      <c r="V2" s="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T2" s="22"/>
    </row>
    <row r="3" spans="1:46" ht="12.75" customHeight="1">
      <c r="A3" s="12" t="s">
        <v>277</v>
      </c>
      <c r="E3" s="12" t="s">
        <v>280</v>
      </c>
      <c r="F3" s="2"/>
      <c r="G3" s="2"/>
      <c r="U3" s="12" t="s">
        <v>267</v>
      </c>
      <c r="V3" s="2"/>
      <c r="W3" s="2"/>
      <c r="X3" s="2"/>
      <c r="Y3" s="2"/>
      <c r="AT3" s="22"/>
    </row>
    <row r="4" spans="1:46">
      <c r="B4" s="2" t="s">
        <v>10</v>
      </c>
      <c r="C4" s="8">
        <v>240</v>
      </c>
      <c r="F4" s="2" t="s">
        <v>13</v>
      </c>
      <c r="G4" s="8">
        <v>0.5</v>
      </c>
      <c r="U4" s="2"/>
      <c r="V4" s="2"/>
      <c r="W4" s="2"/>
      <c r="X4" s="2"/>
      <c r="Y4" s="2"/>
    </row>
    <row r="5" spans="1:46">
      <c r="B5" s="2" t="s">
        <v>11</v>
      </c>
      <c r="C5" s="8">
        <v>12</v>
      </c>
      <c r="F5" s="2" t="s">
        <v>12</v>
      </c>
      <c r="G5" s="16">
        <f>1-G4</f>
        <v>0.5</v>
      </c>
      <c r="U5" s="2"/>
      <c r="V5" s="2" t="s">
        <v>100</v>
      </c>
      <c r="Y5" s="2" t="s">
        <v>13</v>
      </c>
    </row>
    <row r="6" spans="1:46">
      <c r="B6" s="2" t="s">
        <v>278</v>
      </c>
      <c r="C6" s="8">
        <v>100</v>
      </c>
      <c r="U6" s="2"/>
      <c r="V6" s="2" t="str">
        <f>Simulation!B12</f>
        <v>LungCancer</v>
      </c>
      <c r="W6" s="2" t="s">
        <v>101</v>
      </c>
      <c r="X6" s="2" t="s">
        <v>102</v>
      </c>
      <c r="Y6" s="2" t="s">
        <v>98</v>
      </c>
      <c r="Z6" s="2" t="s">
        <v>82</v>
      </c>
      <c r="AA6" s="2" t="s">
        <v>83</v>
      </c>
      <c r="AB6" s="2" t="s">
        <v>84</v>
      </c>
      <c r="AC6" s="2" t="s">
        <v>85</v>
      </c>
      <c r="AD6" s="2" t="s">
        <v>86</v>
      </c>
      <c r="AE6" s="2" t="s">
        <v>87</v>
      </c>
      <c r="AF6" s="2" t="s">
        <v>88</v>
      </c>
      <c r="AG6" s="2" t="s">
        <v>89</v>
      </c>
      <c r="AH6" s="2" t="s">
        <v>90</v>
      </c>
      <c r="AI6" s="2" t="s">
        <v>91</v>
      </c>
      <c r="AJ6" s="2" t="s">
        <v>92</v>
      </c>
      <c r="AK6" s="2" t="s">
        <v>93</v>
      </c>
      <c r="AL6" s="57" t="s">
        <v>94</v>
      </c>
      <c r="AM6" s="44" t="s">
        <v>95</v>
      </c>
    </row>
    <row r="7" spans="1:46">
      <c r="B7" s="2" t="s">
        <v>279</v>
      </c>
      <c r="C7" s="8">
        <v>300</v>
      </c>
      <c r="U7" s="2"/>
      <c r="V7" s="2"/>
      <c r="W7" s="107" t="s">
        <v>65</v>
      </c>
      <c r="X7" s="2"/>
      <c r="Y7" s="8">
        <v>0</v>
      </c>
      <c r="Z7" s="8">
        <v>1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I7" s="8">
        <v>0</v>
      </c>
      <c r="AJ7" s="8">
        <v>0</v>
      </c>
      <c r="AK7" s="8">
        <v>0</v>
      </c>
      <c r="AL7" s="8">
        <v>0</v>
      </c>
      <c r="AM7" s="8">
        <v>0</v>
      </c>
    </row>
    <row r="8" spans="1:46">
      <c r="U8" s="2"/>
      <c r="V8" s="2"/>
      <c r="W8" s="195" t="s">
        <v>20</v>
      </c>
      <c r="X8" s="2" t="s">
        <v>15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I8" s="8">
        <v>0</v>
      </c>
      <c r="AJ8" s="8">
        <v>0</v>
      </c>
      <c r="AK8" s="8">
        <v>0</v>
      </c>
      <c r="AL8" s="8">
        <v>0</v>
      </c>
      <c r="AM8" s="8">
        <v>0</v>
      </c>
    </row>
    <row r="9" spans="1:46">
      <c r="A9" s="12" t="s">
        <v>18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U9" s="2"/>
      <c r="V9" s="2"/>
      <c r="W9" s="195"/>
      <c r="X9" s="2" t="s">
        <v>16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I9" s="8">
        <v>0</v>
      </c>
      <c r="AJ9" s="8">
        <v>0</v>
      </c>
      <c r="AK9" s="8">
        <v>0</v>
      </c>
      <c r="AL9" s="8">
        <v>0</v>
      </c>
      <c r="AM9" s="8">
        <v>0</v>
      </c>
    </row>
    <row r="10" spans="1:46">
      <c r="A10" s="1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U10" s="2"/>
      <c r="V10" s="2"/>
      <c r="W10" s="195"/>
      <c r="X10" s="2" t="s">
        <v>17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  <c r="AJ10" s="8">
        <v>0</v>
      </c>
      <c r="AK10" s="8">
        <v>0</v>
      </c>
      <c r="AL10" s="8">
        <v>0</v>
      </c>
      <c r="AM10" s="8">
        <v>0</v>
      </c>
    </row>
    <row r="11" spans="1:46">
      <c r="A11" s="12"/>
      <c r="B11" s="2" t="s">
        <v>13</v>
      </c>
      <c r="C11" s="2" t="s">
        <v>98</v>
      </c>
      <c r="D11" s="2" t="s">
        <v>82</v>
      </c>
      <c r="E11" s="2" t="s">
        <v>83</v>
      </c>
      <c r="F11" s="2" t="s">
        <v>84</v>
      </c>
      <c r="G11" s="2" t="s">
        <v>85</v>
      </c>
      <c r="H11" s="2" t="s">
        <v>86</v>
      </c>
      <c r="I11" s="2" t="s">
        <v>87</v>
      </c>
      <c r="J11" s="2" t="s">
        <v>88</v>
      </c>
      <c r="K11" s="2" t="s">
        <v>89</v>
      </c>
      <c r="L11" s="2" t="s">
        <v>90</v>
      </c>
      <c r="M11" s="2" t="s">
        <v>91</v>
      </c>
      <c r="N11" s="2" t="s">
        <v>92</v>
      </c>
      <c r="O11" s="2" t="s">
        <v>93</v>
      </c>
      <c r="P11" s="57" t="s">
        <v>94</v>
      </c>
      <c r="Q11" s="44" t="s">
        <v>95</v>
      </c>
      <c r="U11" s="2"/>
      <c r="V11" s="2"/>
      <c r="W11" s="195" t="s">
        <v>19</v>
      </c>
      <c r="X11" s="2" t="s">
        <v>15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0</v>
      </c>
      <c r="AL11" s="8">
        <v>0</v>
      </c>
      <c r="AM11" s="8">
        <v>0</v>
      </c>
    </row>
    <row r="12" spans="1:46">
      <c r="A12" s="12"/>
      <c r="B12" s="2" t="s">
        <v>65</v>
      </c>
      <c r="C12" s="8">
        <v>0.3</v>
      </c>
      <c r="D12" s="8">
        <v>0.3</v>
      </c>
      <c r="E12" s="8">
        <v>0.3</v>
      </c>
      <c r="F12" s="8">
        <v>0.3</v>
      </c>
      <c r="G12" s="8">
        <v>0.3</v>
      </c>
      <c r="H12" s="8">
        <v>0.3</v>
      </c>
      <c r="I12" s="8">
        <v>0.3</v>
      </c>
      <c r="J12" s="8">
        <v>0.3</v>
      </c>
      <c r="K12" s="8">
        <v>0.3</v>
      </c>
      <c r="L12" s="8">
        <v>0.3</v>
      </c>
      <c r="M12" s="8">
        <v>0.3</v>
      </c>
      <c r="N12" s="8">
        <v>0.3</v>
      </c>
      <c r="O12" s="8">
        <v>0.3</v>
      </c>
      <c r="P12" s="8">
        <v>0.3</v>
      </c>
      <c r="Q12" s="8">
        <v>0.3</v>
      </c>
      <c r="U12" s="2"/>
      <c r="V12" s="2"/>
      <c r="W12" s="195"/>
      <c r="X12" s="2" t="s">
        <v>16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I12" s="8">
        <v>0</v>
      </c>
      <c r="AJ12" s="8">
        <v>0</v>
      </c>
      <c r="AK12" s="8">
        <v>0</v>
      </c>
      <c r="AL12" s="8">
        <v>0</v>
      </c>
      <c r="AM12" s="8">
        <v>0</v>
      </c>
    </row>
    <row r="13" spans="1:46">
      <c r="A13" s="12"/>
      <c r="B13" s="2" t="s">
        <v>20</v>
      </c>
      <c r="C13" s="8">
        <v>0.4</v>
      </c>
      <c r="D13" s="8">
        <v>0.4</v>
      </c>
      <c r="E13" s="8">
        <v>0.4</v>
      </c>
      <c r="F13" s="8">
        <v>0.4</v>
      </c>
      <c r="G13" s="8">
        <v>0.4</v>
      </c>
      <c r="H13" s="8">
        <v>0.4</v>
      </c>
      <c r="I13" s="8">
        <v>0.4</v>
      </c>
      <c r="J13" s="8">
        <v>0.4</v>
      </c>
      <c r="K13" s="8">
        <v>0.4</v>
      </c>
      <c r="L13" s="8">
        <v>0.4</v>
      </c>
      <c r="M13" s="8">
        <v>0.4</v>
      </c>
      <c r="N13" s="8">
        <v>0.4</v>
      </c>
      <c r="O13" s="8">
        <v>0.4</v>
      </c>
      <c r="P13" s="8">
        <v>0.4</v>
      </c>
      <c r="Q13" s="8">
        <v>0.4</v>
      </c>
      <c r="U13" s="2"/>
      <c r="V13" s="2"/>
      <c r="W13" s="195"/>
      <c r="X13" s="2" t="s">
        <v>17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0</v>
      </c>
      <c r="AK13" s="8">
        <v>0</v>
      </c>
      <c r="AL13" s="8">
        <v>0</v>
      </c>
      <c r="AM13" s="8">
        <v>0</v>
      </c>
    </row>
    <row r="14" spans="1:46">
      <c r="B14" s="2" t="s">
        <v>19</v>
      </c>
      <c r="C14" s="16">
        <f t="shared" ref="C14:Q14" si="0">(1-C13-C12)</f>
        <v>0.3</v>
      </c>
      <c r="D14" s="16">
        <f t="shared" si="0"/>
        <v>0.3</v>
      </c>
      <c r="E14" s="16">
        <f t="shared" si="0"/>
        <v>0.3</v>
      </c>
      <c r="F14" s="16">
        <f t="shared" si="0"/>
        <v>0.3</v>
      </c>
      <c r="G14" s="16">
        <f t="shared" si="0"/>
        <v>0.3</v>
      </c>
      <c r="H14" s="16">
        <f t="shared" si="0"/>
        <v>0.3</v>
      </c>
      <c r="I14" s="16">
        <f t="shared" si="0"/>
        <v>0.3</v>
      </c>
      <c r="J14" s="16">
        <f t="shared" si="0"/>
        <v>0.3</v>
      </c>
      <c r="K14" s="16">
        <f t="shared" si="0"/>
        <v>0.3</v>
      </c>
      <c r="L14" s="16">
        <f t="shared" si="0"/>
        <v>0.3</v>
      </c>
      <c r="M14" s="16">
        <f t="shared" si="0"/>
        <v>0.3</v>
      </c>
      <c r="N14" s="16">
        <f t="shared" si="0"/>
        <v>0.3</v>
      </c>
      <c r="O14" s="16">
        <f t="shared" si="0"/>
        <v>0.3</v>
      </c>
      <c r="P14" s="16">
        <f t="shared" si="0"/>
        <v>0.3</v>
      </c>
      <c r="Q14" s="16">
        <f t="shared" si="0"/>
        <v>0.3</v>
      </c>
      <c r="U14" s="2"/>
      <c r="V14" s="2"/>
      <c r="W14" s="2"/>
      <c r="X14" s="2"/>
      <c r="Y14" s="2"/>
    </row>
    <row r="15" spans="1:46">
      <c r="U15" s="2"/>
      <c r="V15" s="2"/>
      <c r="W15" s="2"/>
      <c r="X15" s="2"/>
      <c r="Y15" s="2" t="s">
        <v>12</v>
      </c>
    </row>
    <row r="16" spans="1:46"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U16" s="2"/>
      <c r="V16" s="2"/>
      <c r="W16" s="2"/>
      <c r="X16" s="2"/>
      <c r="Y16" s="2" t="s">
        <v>98</v>
      </c>
      <c r="Z16" s="2" t="s">
        <v>82</v>
      </c>
      <c r="AA16" s="2" t="s">
        <v>83</v>
      </c>
      <c r="AB16" s="2" t="s">
        <v>84</v>
      </c>
      <c r="AC16" s="2" t="s">
        <v>85</v>
      </c>
      <c r="AD16" s="2" t="s">
        <v>86</v>
      </c>
      <c r="AE16" s="2" t="s">
        <v>87</v>
      </c>
      <c r="AF16" s="2" t="s">
        <v>88</v>
      </c>
      <c r="AG16" s="2" t="s">
        <v>89</v>
      </c>
      <c r="AH16" s="2" t="s">
        <v>90</v>
      </c>
      <c r="AI16" s="2" t="s">
        <v>91</v>
      </c>
      <c r="AJ16" s="2" t="s">
        <v>92</v>
      </c>
      <c r="AK16" s="2" t="s">
        <v>93</v>
      </c>
      <c r="AL16" s="57" t="s">
        <v>94</v>
      </c>
      <c r="AM16" s="44" t="s">
        <v>95</v>
      </c>
    </row>
    <row r="17" spans="1:39">
      <c r="B17" s="2" t="s">
        <v>12</v>
      </c>
      <c r="C17" s="2" t="s">
        <v>98</v>
      </c>
      <c r="D17" s="2" t="s">
        <v>82</v>
      </c>
      <c r="E17" s="2" t="s">
        <v>83</v>
      </c>
      <c r="F17" s="2" t="s">
        <v>84</v>
      </c>
      <c r="G17" s="2" t="s">
        <v>85</v>
      </c>
      <c r="H17" s="2" t="s">
        <v>86</v>
      </c>
      <c r="I17" s="2" t="s">
        <v>87</v>
      </c>
      <c r="J17" s="2" t="s">
        <v>88</v>
      </c>
      <c r="K17" s="2" t="s">
        <v>89</v>
      </c>
      <c r="L17" s="2" t="s">
        <v>90</v>
      </c>
      <c r="M17" s="2" t="s">
        <v>91</v>
      </c>
      <c r="N17" s="2" t="s">
        <v>92</v>
      </c>
      <c r="O17" s="2" t="s">
        <v>93</v>
      </c>
      <c r="P17" s="57" t="s">
        <v>94</v>
      </c>
      <c r="Q17" s="44" t="s">
        <v>95</v>
      </c>
      <c r="U17" s="2"/>
      <c r="V17" s="2"/>
      <c r="W17" s="107" t="s">
        <v>65</v>
      </c>
      <c r="X17" s="2"/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I17" s="8">
        <v>0</v>
      </c>
      <c r="AJ17" s="8">
        <v>0</v>
      </c>
      <c r="AK17" s="8">
        <v>0</v>
      </c>
      <c r="AL17" s="8">
        <v>0</v>
      </c>
      <c r="AM17" s="8">
        <v>0</v>
      </c>
    </row>
    <row r="18" spans="1:39">
      <c r="B18" s="2" t="s">
        <v>65</v>
      </c>
      <c r="C18" s="8">
        <v>0.3</v>
      </c>
      <c r="D18" s="8">
        <v>0.3</v>
      </c>
      <c r="E18" s="8">
        <v>0.3</v>
      </c>
      <c r="F18" s="8">
        <v>0.3</v>
      </c>
      <c r="G18" s="8">
        <v>0.3</v>
      </c>
      <c r="H18" s="8">
        <v>0.3</v>
      </c>
      <c r="I18" s="8">
        <v>0.3</v>
      </c>
      <c r="J18" s="8">
        <v>0.3</v>
      </c>
      <c r="K18" s="8">
        <v>0.3</v>
      </c>
      <c r="L18" s="8">
        <v>0.3</v>
      </c>
      <c r="M18" s="8">
        <v>0.3</v>
      </c>
      <c r="N18" s="8">
        <v>0.3</v>
      </c>
      <c r="O18" s="8">
        <v>0.3</v>
      </c>
      <c r="P18" s="8">
        <v>0.3</v>
      </c>
      <c r="Q18" s="8">
        <v>0.3</v>
      </c>
      <c r="U18" s="2"/>
      <c r="V18" s="2"/>
      <c r="W18" s="195" t="s">
        <v>20</v>
      </c>
      <c r="X18" s="2" t="s">
        <v>15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</row>
    <row r="19" spans="1:39">
      <c r="B19" s="2" t="s">
        <v>20</v>
      </c>
      <c r="C19" s="8">
        <v>0.4</v>
      </c>
      <c r="D19" s="8">
        <v>0.4</v>
      </c>
      <c r="E19" s="8">
        <v>0.4</v>
      </c>
      <c r="F19" s="8">
        <v>0.4</v>
      </c>
      <c r="G19" s="8">
        <v>0.4</v>
      </c>
      <c r="H19" s="8">
        <v>0.4</v>
      </c>
      <c r="I19" s="8">
        <v>0.4</v>
      </c>
      <c r="J19" s="8">
        <v>0.4</v>
      </c>
      <c r="K19" s="8">
        <v>0.4</v>
      </c>
      <c r="L19" s="8">
        <v>0.4</v>
      </c>
      <c r="M19" s="8">
        <v>0.4</v>
      </c>
      <c r="N19" s="8">
        <v>0.4</v>
      </c>
      <c r="O19" s="8">
        <v>0.4</v>
      </c>
      <c r="P19" s="8">
        <v>0.4</v>
      </c>
      <c r="Q19" s="8">
        <v>0.4</v>
      </c>
      <c r="U19" s="2"/>
      <c r="V19" s="2"/>
      <c r="W19" s="195"/>
      <c r="X19" s="2" t="s">
        <v>16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v>0</v>
      </c>
      <c r="AJ19" s="8">
        <v>0</v>
      </c>
      <c r="AK19" s="8">
        <v>0</v>
      </c>
      <c r="AL19" s="8">
        <v>0</v>
      </c>
      <c r="AM19" s="8">
        <v>0</v>
      </c>
    </row>
    <row r="20" spans="1:39">
      <c r="B20" s="2" t="s">
        <v>19</v>
      </c>
      <c r="C20" s="16">
        <f t="shared" ref="C20:Q20" si="1">(1-C19-C18)</f>
        <v>0.3</v>
      </c>
      <c r="D20" s="16">
        <f t="shared" si="1"/>
        <v>0.3</v>
      </c>
      <c r="E20" s="16">
        <f t="shared" si="1"/>
        <v>0.3</v>
      </c>
      <c r="F20" s="16">
        <f t="shared" si="1"/>
        <v>0.3</v>
      </c>
      <c r="G20" s="16">
        <f t="shared" si="1"/>
        <v>0.3</v>
      </c>
      <c r="H20" s="16">
        <f t="shared" si="1"/>
        <v>0.3</v>
      </c>
      <c r="I20" s="16">
        <f t="shared" si="1"/>
        <v>0.3</v>
      </c>
      <c r="J20" s="16">
        <f t="shared" si="1"/>
        <v>0.3</v>
      </c>
      <c r="K20" s="16">
        <f t="shared" si="1"/>
        <v>0.3</v>
      </c>
      <c r="L20" s="16">
        <f t="shared" si="1"/>
        <v>0.3</v>
      </c>
      <c r="M20" s="16">
        <f t="shared" si="1"/>
        <v>0.3</v>
      </c>
      <c r="N20" s="16">
        <f t="shared" si="1"/>
        <v>0.3</v>
      </c>
      <c r="O20" s="16">
        <f t="shared" si="1"/>
        <v>0.3</v>
      </c>
      <c r="P20" s="16">
        <f t="shared" si="1"/>
        <v>0.3</v>
      </c>
      <c r="Q20" s="16">
        <f t="shared" si="1"/>
        <v>0.3</v>
      </c>
      <c r="U20" s="2"/>
      <c r="V20" s="2"/>
      <c r="W20" s="195"/>
      <c r="X20" s="2" t="s">
        <v>17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</row>
    <row r="21" spans="1:39">
      <c r="U21" s="2"/>
      <c r="V21" s="2"/>
      <c r="W21" s="195" t="s">
        <v>19</v>
      </c>
      <c r="X21" s="2" t="s">
        <v>15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  <c r="AJ21" s="8">
        <v>0</v>
      </c>
      <c r="AK21" s="8">
        <v>0</v>
      </c>
      <c r="AL21" s="8">
        <v>0</v>
      </c>
      <c r="AM21" s="8">
        <v>0</v>
      </c>
    </row>
    <row r="22" spans="1:39">
      <c r="A22" s="44"/>
      <c r="B22" s="44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U22" s="2"/>
      <c r="V22" s="2"/>
      <c r="W22" s="195"/>
      <c r="X22" s="2" t="s">
        <v>16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I22" s="8">
        <v>0</v>
      </c>
      <c r="AJ22" s="8">
        <v>0</v>
      </c>
      <c r="AK22" s="8">
        <v>0</v>
      </c>
      <c r="AL22" s="8">
        <v>0</v>
      </c>
      <c r="AM22" s="8">
        <v>0</v>
      </c>
    </row>
    <row r="23" spans="1:39">
      <c r="A23" s="12" t="s">
        <v>14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U23" s="2"/>
      <c r="V23" s="2"/>
      <c r="W23" s="195"/>
      <c r="X23" s="2" t="s">
        <v>17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</v>
      </c>
      <c r="AM23" s="8">
        <v>0</v>
      </c>
    </row>
    <row r="24" spans="1:39">
      <c r="A24" s="1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U24" s="2"/>
      <c r="V24" s="2"/>
      <c r="W24" s="2"/>
      <c r="X24" s="2"/>
      <c r="Y24" s="2"/>
    </row>
    <row r="25" spans="1:39">
      <c r="A25" s="12"/>
      <c r="B25" s="2" t="s">
        <v>13</v>
      </c>
      <c r="C25" s="2" t="s">
        <v>98</v>
      </c>
      <c r="D25" s="2" t="s">
        <v>82</v>
      </c>
      <c r="E25" s="2" t="s">
        <v>83</v>
      </c>
      <c r="F25" s="2" t="s">
        <v>84</v>
      </c>
      <c r="G25" s="2" t="s">
        <v>85</v>
      </c>
      <c r="H25" s="2" t="s">
        <v>86</v>
      </c>
      <c r="I25" s="2" t="s">
        <v>87</v>
      </c>
      <c r="J25" s="2" t="s">
        <v>88</v>
      </c>
      <c r="K25" s="2" t="s">
        <v>89</v>
      </c>
      <c r="L25" s="2" t="s">
        <v>90</v>
      </c>
      <c r="M25" s="2" t="s">
        <v>91</v>
      </c>
      <c r="N25" s="2" t="s">
        <v>92</v>
      </c>
      <c r="O25" s="2" t="s">
        <v>93</v>
      </c>
      <c r="P25" s="57" t="s">
        <v>94</v>
      </c>
      <c r="Q25" s="44" t="s">
        <v>95</v>
      </c>
      <c r="U25" s="2"/>
      <c r="V25" s="2" t="s">
        <v>100</v>
      </c>
      <c r="Y25" s="2" t="s">
        <v>13</v>
      </c>
    </row>
    <row r="26" spans="1:39">
      <c r="A26" s="12"/>
      <c r="B26" s="2" t="s">
        <v>15</v>
      </c>
      <c r="C26" s="8">
        <v>0.3</v>
      </c>
      <c r="D26" s="8">
        <v>0.3</v>
      </c>
      <c r="E26" s="8">
        <v>0.3</v>
      </c>
      <c r="F26" s="8">
        <v>0.3</v>
      </c>
      <c r="G26" s="8">
        <v>0.3</v>
      </c>
      <c r="H26" s="8">
        <v>0.3</v>
      </c>
      <c r="I26" s="8">
        <v>0.3</v>
      </c>
      <c r="J26" s="8">
        <v>0.3</v>
      </c>
      <c r="K26" s="8">
        <v>0.3</v>
      </c>
      <c r="L26" s="8">
        <v>0.3</v>
      </c>
      <c r="M26" s="8">
        <v>0.3</v>
      </c>
      <c r="N26" s="8">
        <v>0.3</v>
      </c>
      <c r="O26" s="8">
        <v>0.3</v>
      </c>
      <c r="P26" s="8">
        <v>0.3</v>
      </c>
      <c r="Q26" s="8">
        <v>0.3</v>
      </c>
      <c r="U26" s="2"/>
      <c r="V26" s="2" t="str">
        <f>Simulation!B13</f>
        <v>COPD</v>
      </c>
      <c r="W26" s="2" t="s">
        <v>101</v>
      </c>
      <c r="X26" s="2" t="s">
        <v>102</v>
      </c>
      <c r="Y26" s="2" t="s">
        <v>98</v>
      </c>
      <c r="Z26" s="2" t="s">
        <v>82</v>
      </c>
      <c r="AA26" s="2" t="s">
        <v>83</v>
      </c>
      <c r="AB26" s="2" t="s">
        <v>84</v>
      </c>
      <c r="AC26" s="2" t="s">
        <v>85</v>
      </c>
      <c r="AD26" s="2" t="s">
        <v>86</v>
      </c>
      <c r="AE26" s="2" t="s">
        <v>87</v>
      </c>
      <c r="AF26" s="2" t="s">
        <v>88</v>
      </c>
      <c r="AG26" s="2" t="s">
        <v>89</v>
      </c>
      <c r="AH26" s="2" t="s">
        <v>90</v>
      </c>
      <c r="AI26" s="2" t="s">
        <v>91</v>
      </c>
      <c r="AJ26" s="2" t="s">
        <v>92</v>
      </c>
      <c r="AK26" s="2" t="s">
        <v>93</v>
      </c>
      <c r="AL26" s="57" t="s">
        <v>94</v>
      </c>
      <c r="AM26" s="44" t="s">
        <v>95</v>
      </c>
    </row>
    <row r="27" spans="1:39">
      <c r="B27" s="2" t="s">
        <v>16</v>
      </c>
      <c r="C27" s="8">
        <v>0.4</v>
      </c>
      <c r="D27" s="8">
        <v>0.4</v>
      </c>
      <c r="E27" s="8">
        <v>0.4</v>
      </c>
      <c r="F27" s="8">
        <v>0.4</v>
      </c>
      <c r="G27" s="8">
        <v>0.4</v>
      </c>
      <c r="H27" s="8">
        <v>0.4</v>
      </c>
      <c r="I27" s="8">
        <v>0.4</v>
      </c>
      <c r="J27" s="8">
        <v>0.4</v>
      </c>
      <c r="K27" s="8">
        <v>0.4</v>
      </c>
      <c r="L27" s="8">
        <v>0.4</v>
      </c>
      <c r="M27" s="8">
        <v>0.4</v>
      </c>
      <c r="N27" s="8">
        <v>0.4</v>
      </c>
      <c r="O27" s="8">
        <v>0.4</v>
      </c>
      <c r="P27" s="8">
        <v>0.4</v>
      </c>
      <c r="Q27" s="8">
        <v>0.4</v>
      </c>
      <c r="U27" s="2"/>
      <c r="V27" s="2"/>
      <c r="W27" s="107" t="s">
        <v>65</v>
      </c>
      <c r="X27" s="2"/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v>0</v>
      </c>
      <c r="AJ27" s="8">
        <v>0</v>
      </c>
      <c r="AK27" s="8">
        <v>0</v>
      </c>
      <c r="AL27" s="8">
        <v>0</v>
      </c>
      <c r="AM27" s="8">
        <v>0</v>
      </c>
    </row>
    <row r="28" spans="1:39">
      <c r="B28" s="2" t="s">
        <v>17</v>
      </c>
      <c r="C28" s="16">
        <f t="shared" ref="C28:Q28" si="2">(1-C27-C26)</f>
        <v>0.3</v>
      </c>
      <c r="D28" s="16">
        <f t="shared" si="2"/>
        <v>0.3</v>
      </c>
      <c r="E28" s="16">
        <f t="shared" si="2"/>
        <v>0.3</v>
      </c>
      <c r="F28" s="16">
        <f t="shared" si="2"/>
        <v>0.3</v>
      </c>
      <c r="G28" s="16">
        <f t="shared" si="2"/>
        <v>0.3</v>
      </c>
      <c r="H28" s="16">
        <f t="shared" si="2"/>
        <v>0.3</v>
      </c>
      <c r="I28" s="16">
        <f t="shared" si="2"/>
        <v>0.3</v>
      </c>
      <c r="J28" s="16">
        <f t="shared" si="2"/>
        <v>0.3</v>
      </c>
      <c r="K28" s="16">
        <f t="shared" si="2"/>
        <v>0.3</v>
      </c>
      <c r="L28" s="16">
        <f t="shared" si="2"/>
        <v>0.3</v>
      </c>
      <c r="M28" s="16">
        <f t="shared" si="2"/>
        <v>0.3</v>
      </c>
      <c r="N28" s="16">
        <f t="shared" si="2"/>
        <v>0.3</v>
      </c>
      <c r="O28" s="16">
        <f t="shared" si="2"/>
        <v>0.3</v>
      </c>
      <c r="P28" s="16">
        <f t="shared" si="2"/>
        <v>0.3</v>
      </c>
      <c r="Q28" s="16">
        <f t="shared" si="2"/>
        <v>0.3</v>
      </c>
      <c r="U28" s="2"/>
      <c r="V28" s="2"/>
      <c r="W28" s="195" t="s">
        <v>20</v>
      </c>
      <c r="X28" s="2" t="s">
        <v>15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</row>
    <row r="29" spans="1:39">
      <c r="U29" s="2"/>
      <c r="V29" s="2"/>
      <c r="W29" s="195"/>
      <c r="X29" s="2" t="s">
        <v>16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I29" s="8">
        <v>0</v>
      </c>
      <c r="AJ29" s="8">
        <v>0</v>
      </c>
      <c r="AK29" s="8">
        <v>0</v>
      </c>
      <c r="AL29" s="8">
        <v>0</v>
      </c>
      <c r="AM29" s="8">
        <v>0</v>
      </c>
    </row>
    <row r="30" spans="1:39"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U30" s="2"/>
      <c r="V30" s="2"/>
      <c r="W30" s="195"/>
      <c r="X30" s="2" t="s">
        <v>17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</row>
    <row r="31" spans="1:39">
      <c r="B31" s="2" t="s">
        <v>12</v>
      </c>
      <c r="C31" s="2" t="s">
        <v>98</v>
      </c>
      <c r="D31" s="2" t="s">
        <v>82</v>
      </c>
      <c r="E31" s="2" t="s">
        <v>83</v>
      </c>
      <c r="F31" s="2" t="s">
        <v>84</v>
      </c>
      <c r="G31" s="2" t="s">
        <v>85</v>
      </c>
      <c r="H31" s="2" t="s">
        <v>86</v>
      </c>
      <c r="I31" s="2" t="s">
        <v>87</v>
      </c>
      <c r="J31" s="2" t="s">
        <v>88</v>
      </c>
      <c r="K31" s="2" t="s">
        <v>89</v>
      </c>
      <c r="L31" s="2" t="s">
        <v>90</v>
      </c>
      <c r="M31" s="2" t="s">
        <v>91</v>
      </c>
      <c r="N31" s="2" t="s">
        <v>92</v>
      </c>
      <c r="O31" s="2" t="s">
        <v>93</v>
      </c>
      <c r="P31" s="57" t="s">
        <v>94</v>
      </c>
      <c r="Q31" s="44" t="s">
        <v>95</v>
      </c>
      <c r="U31" s="2"/>
      <c r="V31" s="2"/>
      <c r="W31" s="195" t="s">
        <v>19</v>
      </c>
      <c r="X31" s="2" t="s">
        <v>15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I31" s="8">
        <v>0</v>
      </c>
      <c r="AJ31" s="8">
        <v>0</v>
      </c>
      <c r="AK31" s="8">
        <v>0</v>
      </c>
      <c r="AL31" s="8">
        <v>0</v>
      </c>
      <c r="AM31" s="8">
        <v>0</v>
      </c>
    </row>
    <row r="32" spans="1:39">
      <c r="B32" s="2" t="s">
        <v>15</v>
      </c>
      <c r="C32" s="8">
        <v>0.3</v>
      </c>
      <c r="D32" s="8">
        <v>0.3</v>
      </c>
      <c r="E32" s="8">
        <v>0.3</v>
      </c>
      <c r="F32" s="8">
        <v>0.3</v>
      </c>
      <c r="G32" s="8">
        <v>0.3</v>
      </c>
      <c r="H32" s="8">
        <v>0.3</v>
      </c>
      <c r="I32" s="8">
        <v>0.3</v>
      </c>
      <c r="J32" s="8">
        <v>0.3</v>
      </c>
      <c r="K32" s="8">
        <v>0.3</v>
      </c>
      <c r="L32" s="8">
        <v>0.3</v>
      </c>
      <c r="M32" s="8">
        <v>0.3</v>
      </c>
      <c r="N32" s="8">
        <v>0.3</v>
      </c>
      <c r="O32" s="8">
        <v>0.3</v>
      </c>
      <c r="P32" s="8">
        <v>0.3</v>
      </c>
      <c r="Q32" s="8">
        <v>0.3</v>
      </c>
      <c r="U32" s="2"/>
      <c r="V32" s="2"/>
      <c r="W32" s="195"/>
      <c r="X32" s="2" t="s">
        <v>16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0</v>
      </c>
      <c r="AJ32" s="8">
        <v>0</v>
      </c>
      <c r="AK32" s="8">
        <v>0</v>
      </c>
      <c r="AL32" s="8">
        <v>0</v>
      </c>
      <c r="AM32" s="8">
        <v>0</v>
      </c>
    </row>
    <row r="33" spans="1:39">
      <c r="B33" s="2" t="s">
        <v>16</v>
      </c>
      <c r="C33" s="8">
        <v>0.4</v>
      </c>
      <c r="D33" s="8">
        <v>0.4</v>
      </c>
      <c r="E33" s="8">
        <v>0.4</v>
      </c>
      <c r="F33" s="8">
        <v>0.4</v>
      </c>
      <c r="G33" s="8">
        <v>0.4</v>
      </c>
      <c r="H33" s="8">
        <v>0.4</v>
      </c>
      <c r="I33" s="8">
        <v>0.4</v>
      </c>
      <c r="J33" s="8">
        <v>0.4</v>
      </c>
      <c r="K33" s="8">
        <v>0.4</v>
      </c>
      <c r="L33" s="8">
        <v>0.4</v>
      </c>
      <c r="M33" s="8">
        <v>0.4</v>
      </c>
      <c r="N33" s="8">
        <v>0.4</v>
      </c>
      <c r="O33" s="8">
        <v>0.4</v>
      </c>
      <c r="P33" s="8">
        <v>0.4</v>
      </c>
      <c r="Q33" s="8">
        <v>0.4</v>
      </c>
      <c r="U33" s="2"/>
      <c r="V33" s="2"/>
      <c r="W33" s="195"/>
      <c r="X33" s="2" t="s">
        <v>17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</row>
    <row r="34" spans="1:39">
      <c r="B34" s="2" t="s">
        <v>17</v>
      </c>
      <c r="C34" s="16">
        <f t="shared" ref="C34:Q34" si="3">(1-C33-C32)</f>
        <v>0.3</v>
      </c>
      <c r="D34" s="16">
        <f t="shared" si="3"/>
        <v>0.3</v>
      </c>
      <c r="E34" s="16">
        <f t="shared" si="3"/>
        <v>0.3</v>
      </c>
      <c r="F34" s="16">
        <f t="shared" si="3"/>
        <v>0.3</v>
      </c>
      <c r="G34" s="16">
        <f t="shared" si="3"/>
        <v>0.3</v>
      </c>
      <c r="H34" s="16">
        <f t="shared" si="3"/>
        <v>0.3</v>
      </c>
      <c r="I34" s="16">
        <f t="shared" si="3"/>
        <v>0.3</v>
      </c>
      <c r="J34" s="16">
        <f t="shared" si="3"/>
        <v>0.3</v>
      </c>
      <c r="K34" s="16">
        <f t="shared" si="3"/>
        <v>0.3</v>
      </c>
      <c r="L34" s="16">
        <f t="shared" si="3"/>
        <v>0.3</v>
      </c>
      <c r="M34" s="16">
        <f t="shared" si="3"/>
        <v>0.3</v>
      </c>
      <c r="N34" s="16">
        <f t="shared" si="3"/>
        <v>0.3</v>
      </c>
      <c r="O34" s="16">
        <f t="shared" si="3"/>
        <v>0.3</v>
      </c>
      <c r="P34" s="16">
        <f t="shared" si="3"/>
        <v>0.3</v>
      </c>
      <c r="Q34" s="16">
        <f t="shared" si="3"/>
        <v>0.3</v>
      </c>
      <c r="U34" s="2"/>
      <c r="V34" s="2"/>
      <c r="W34" s="2"/>
      <c r="X34" s="2"/>
      <c r="Y34" s="2"/>
    </row>
    <row r="35" spans="1:39">
      <c r="U35" s="2"/>
      <c r="V35" s="2"/>
      <c r="W35" s="2"/>
      <c r="X35" s="2"/>
      <c r="Y35" s="2" t="s">
        <v>12</v>
      </c>
    </row>
    <row r="36" spans="1:39">
      <c r="A36" s="44"/>
      <c r="B36" s="44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U36" s="2"/>
      <c r="V36" s="2"/>
      <c r="W36" s="2"/>
      <c r="X36" s="2"/>
      <c r="Y36" s="2" t="s">
        <v>98</v>
      </c>
      <c r="Z36" s="2" t="s">
        <v>82</v>
      </c>
      <c r="AA36" s="2" t="s">
        <v>83</v>
      </c>
      <c r="AB36" s="2" t="s">
        <v>84</v>
      </c>
      <c r="AC36" s="2" t="s">
        <v>85</v>
      </c>
      <c r="AD36" s="2" t="s">
        <v>86</v>
      </c>
      <c r="AE36" s="2" t="s">
        <v>87</v>
      </c>
      <c r="AF36" s="2" t="s">
        <v>88</v>
      </c>
      <c r="AG36" s="2" t="s">
        <v>89</v>
      </c>
      <c r="AH36" s="2" t="s">
        <v>90</v>
      </c>
      <c r="AI36" s="2" t="s">
        <v>91</v>
      </c>
      <c r="AJ36" s="2" t="s">
        <v>92</v>
      </c>
      <c r="AK36" s="2" t="s">
        <v>93</v>
      </c>
      <c r="AL36" s="57" t="s">
        <v>94</v>
      </c>
      <c r="AM36" s="44" t="s">
        <v>95</v>
      </c>
    </row>
    <row r="37" spans="1:39">
      <c r="A37" s="12" t="s">
        <v>289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U37" s="2"/>
      <c r="V37" s="2"/>
      <c r="W37" s="107" t="s">
        <v>65</v>
      </c>
      <c r="X37" s="2"/>
      <c r="Y37" s="8">
        <v>0</v>
      </c>
      <c r="Z37" s="8">
        <v>0</v>
      </c>
      <c r="AA37" s="8">
        <v>0</v>
      </c>
      <c r="AB37" s="8">
        <v>0</v>
      </c>
      <c r="AC37" s="8">
        <v>0</v>
      </c>
      <c r="AD37" s="8">
        <v>0</v>
      </c>
      <c r="AE37" s="8">
        <v>0</v>
      </c>
      <c r="AF37" s="8">
        <v>0</v>
      </c>
      <c r="AG37" s="8">
        <v>0</v>
      </c>
      <c r="AH37" s="8">
        <v>0</v>
      </c>
      <c r="AI37" s="8">
        <v>0</v>
      </c>
      <c r="AJ37" s="8">
        <v>0</v>
      </c>
      <c r="AK37" s="8">
        <v>0</v>
      </c>
      <c r="AL37" s="8">
        <v>0</v>
      </c>
      <c r="AM37" s="8">
        <v>0</v>
      </c>
    </row>
    <row r="38" spans="1:39">
      <c r="B38" s="2" t="s">
        <v>10</v>
      </c>
      <c r="C38" s="8">
        <v>300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U38" s="2"/>
      <c r="V38" s="2"/>
      <c r="W38" s="195" t="s">
        <v>20</v>
      </c>
      <c r="X38" s="2" t="s">
        <v>15</v>
      </c>
      <c r="Y38" s="8">
        <v>0</v>
      </c>
      <c r="Z38" s="8">
        <v>0</v>
      </c>
      <c r="AA38" s="8">
        <v>0</v>
      </c>
      <c r="AB38" s="8">
        <v>0</v>
      </c>
      <c r="AC38" s="8">
        <v>0</v>
      </c>
      <c r="AD38" s="8">
        <v>0</v>
      </c>
      <c r="AE38" s="8">
        <v>0</v>
      </c>
      <c r="AF38" s="8">
        <v>0</v>
      </c>
      <c r="AG38" s="8">
        <v>0</v>
      </c>
      <c r="AH38" s="8">
        <v>0</v>
      </c>
      <c r="AI38" s="8">
        <v>0</v>
      </c>
      <c r="AJ38" s="8">
        <v>0</v>
      </c>
      <c r="AK38" s="8">
        <v>0</v>
      </c>
      <c r="AL38" s="8">
        <v>0</v>
      </c>
      <c r="AM38" s="8">
        <v>0</v>
      </c>
    </row>
    <row r="39" spans="1:39">
      <c r="B39" s="2" t="s">
        <v>11</v>
      </c>
      <c r="C39" s="8">
        <v>12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U39" s="2"/>
      <c r="V39" s="2"/>
      <c r="W39" s="195"/>
      <c r="X39" s="2" t="s">
        <v>16</v>
      </c>
      <c r="Y39" s="8">
        <v>0</v>
      </c>
      <c r="Z39" s="8">
        <v>0</v>
      </c>
      <c r="AA39" s="8">
        <v>0</v>
      </c>
      <c r="AB39" s="8">
        <v>0</v>
      </c>
      <c r="AC39" s="8">
        <v>0</v>
      </c>
      <c r="AD39" s="8">
        <v>0</v>
      </c>
      <c r="AE39" s="8">
        <v>0</v>
      </c>
      <c r="AF39" s="8">
        <v>0</v>
      </c>
      <c r="AG39" s="8">
        <v>0</v>
      </c>
      <c r="AH39" s="8">
        <v>0</v>
      </c>
      <c r="AI39" s="8">
        <v>0</v>
      </c>
      <c r="AJ39" s="8">
        <v>0</v>
      </c>
      <c r="AK39" s="8">
        <v>0</v>
      </c>
      <c r="AL39" s="8">
        <v>0</v>
      </c>
      <c r="AM39" s="8">
        <v>0</v>
      </c>
    </row>
    <row r="40" spans="1:39">
      <c r="U40" s="2"/>
      <c r="V40" s="2"/>
      <c r="W40" s="195"/>
      <c r="X40" s="2" t="s">
        <v>17</v>
      </c>
      <c r="Y40" s="8">
        <v>0</v>
      </c>
      <c r="Z40" s="8">
        <v>0</v>
      </c>
      <c r="AA40" s="8">
        <v>0</v>
      </c>
      <c r="AB40" s="8">
        <v>0</v>
      </c>
      <c r="AC40" s="8">
        <v>0</v>
      </c>
      <c r="AD40" s="8">
        <v>0</v>
      </c>
      <c r="AE40" s="8">
        <v>0</v>
      </c>
      <c r="AF40" s="8">
        <v>0</v>
      </c>
      <c r="AG40" s="8">
        <v>0</v>
      </c>
      <c r="AH40" s="8">
        <v>0</v>
      </c>
      <c r="AI40" s="8">
        <v>0</v>
      </c>
      <c r="AJ40" s="8">
        <v>0</v>
      </c>
      <c r="AK40" s="8">
        <v>0</v>
      </c>
      <c r="AL40" s="8">
        <v>0</v>
      </c>
      <c r="AM40" s="8">
        <v>0</v>
      </c>
    </row>
    <row r="41" spans="1:39">
      <c r="U41" s="2"/>
      <c r="V41" s="2"/>
      <c r="W41" s="195" t="s">
        <v>19</v>
      </c>
      <c r="X41" s="2" t="s">
        <v>15</v>
      </c>
      <c r="Y41" s="8">
        <v>0</v>
      </c>
      <c r="Z41" s="8">
        <v>0</v>
      </c>
      <c r="AA41" s="8">
        <v>0</v>
      </c>
      <c r="AB41" s="8">
        <v>0</v>
      </c>
      <c r="AC41" s="8">
        <v>0</v>
      </c>
      <c r="AD41" s="8">
        <v>0</v>
      </c>
      <c r="AE41" s="8">
        <v>0</v>
      </c>
      <c r="AF41" s="8">
        <v>0</v>
      </c>
      <c r="AG41" s="8">
        <v>0</v>
      </c>
      <c r="AH41" s="8">
        <v>0</v>
      </c>
      <c r="AI41" s="8">
        <v>0</v>
      </c>
      <c r="AJ41" s="8">
        <v>0</v>
      </c>
      <c r="AK41" s="8">
        <v>0</v>
      </c>
      <c r="AL41" s="8">
        <v>0</v>
      </c>
      <c r="AM41" s="8">
        <v>0</v>
      </c>
    </row>
    <row r="42" spans="1:39">
      <c r="U42" s="2"/>
      <c r="V42" s="2"/>
      <c r="W42" s="195"/>
      <c r="X42" s="2" t="s">
        <v>16</v>
      </c>
      <c r="Y42" s="8">
        <v>0</v>
      </c>
      <c r="Z42" s="8">
        <v>0</v>
      </c>
      <c r="AA42" s="8">
        <v>0</v>
      </c>
      <c r="AB42" s="8">
        <v>0</v>
      </c>
      <c r="AC42" s="8">
        <v>0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  <c r="AJ42" s="8">
        <v>0</v>
      </c>
      <c r="AK42" s="8">
        <v>0</v>
      </c>
      <c r="AL42" s="8">
        <v>0</v>
      </c>
      <c r="AM42" s="8">
        <v>0</v>
      </c>
    </row>
    <row r="43" spans="1:39">
      <c r="U43" s="2"/>
      <c r="V43" s="2"/>
      <c r="W43" s="195"/>
      <c r="X43" s="2" t="s">
        <v>17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>
        <v>0</v>
      </c>
      <c r="AE43" s="8">
        <v>0</v>
      </c>
      <c r="AF43" s="8">
        <v>0</v>
      </c>
      <c r="AG43" s="8">
        <v>0</v>
      </c>
      <c r="AH43" s="8">
        <v>0</v>
      </c>
      <c r="AI43" s="8">
        <v>0</v>
      </c>
      <c r="AJ43" s="8">
        <v>0</v>
      </c>
      <c r="AK43" s="8">
        <v>0</v>
      </c>
      <c r="AL43" s="8">
        <v>0</v>
      </c>
      <c r="AM43" s="8">
        <v>0</v>
      </c>
    </row>
    <row r="44" spans="1:39">
      <c r="U44" s="2"/>
      <c r="V44" s="2"/>
      <c r="W44" s="2"/>
      <c r="X44" s="2"/>
      <c r="Y44" s="2"/>
    </row>
    <row r="45" spans="1:39">
      <c r="U45" s="2"/>
      <c r="V45" s="2" t="s">
        <v>100</v>
      </c>
      <c r="Y45" s="2" t="s">
        <v>13</v>
      </c>
    </row>
    <row r="46" spans="1:39">
      <c r="U46" s="2"/>
      <c r="V46" s="2" t="str">
        <f>Simulation!B14</f>
        <v>MI</v>
      </c>
      <c r="W46" s="2" t="s">
        <v>101</v>
      </c>
      <c r="X46" s="2" t="s">
        <v>102</v>
      </c>
      <c r="Y46" s="2" t="s">
        <v>98</v>
      </c>
      <c r="Z46" s="2" t="s">
        <v>82</v>
      </c>
      <c r="AA46" s="2" t="s">
        <v>83</v>
      </c>
      <c r="AB46" s="2" t="s">
        <v>84</v>
      </c>
      <c r="AC46" s="2" t="s">
        <v>85</v>
      </c>
      <c r="AD46" s="2" t="s">
        <v>86</v>
      </c>
      <c r="AE46" s="2" t="s">
        <v>87</v>
      </c>
      <c r="AF46" s="2" t="s">
        <v>88</v>
      </c>
      <c r="AG46" s="2" t="s">
        <v>89</v>
      </c>
      <c r="AH46" s="2" t="s">
        <v>90</v>
      </c>
      <c r="AI46" s="2" t="s">
        <v>91</v>
      </c>
      <c r="AJ46" s="2" t="s">
        <v>92</v>
      </c>
      <c r="AK46" s="2" t="s">
        <v>93</v>
      </c>
      <c r="AL46" s="57" t="s">
        <v>94</v>
      </c>
      <c r="AM46" s="44" t="s">
        <v>95</v>
      </c>
    </row>
    <row r="47" spans="1:39">
      <c r="U47" s="2"/>
      <c r="V47" s="2"/>
      <c r="W47" s="107" t="s">
        <v>65</v>
      </c>
      <c r="X47" s="2"/>
      <c r="Y47" s="8">
        <v>0</v>
      </c>
      <c r="Z47" s="8">
        <v>0</v>
      </c>
      <c r="AA47" s="8">
        <v>0</v>
      </c>
      <c r="AB47" s="8">
        <v>0</v>
      </c>
      <c r="AC47" s="8">
        <v>0</v>
      </c>
      <c r="AD47" s="8">
        <v>0</v>
      </c>
      <c r="AE47" s="8">
        <v>0</v>
      </c>
      <c r="AF47" s="8">
        <v>0</v>
      </c>
      <c r="AG47" s="8">
        <v>0</v>
      </c>
      <c r="AH47" s="8">
        <v>0</v>
      </c>
      <c r="AI47" s="8">
        <v>0</v>
      </c>
      <c r="AJ47" s="8">
        <v>0</v>
      </c>
      <c r="AK47" s="8">
        <v>0</v>
      </c>
      <c r="AL47" s="8">
        <v>0</v>
      </c>
      <c r="AM47" s="8">
        <v>0</v>
      </c>
    </row>
    <row r="48" spans="1:39">
      <c r="U48" s="2"/>
      <c r="V48" s="2"/>
      <c r="W48" s="195" t="s">
        <v>20</v>
      </c>
      <c r="X48" s="2" t="s">
        <v>15</v>
      </c>
      <c r="Y48" s="8">
        <v>0</v>
      </c>
      <c r="Z48" s="8">
        <v>0</v>
      </c>
      <c r="AA48" s="8">
        <v>0</v>
      </c>
      <c r="AB48" s="8">
        <v>0</v>
      </c>
      <c r="AC48" s="8">
        <v>0</v>
      </c>
      <c r="AD48" s="8">
        <v>0</v>
      </c>
      <c r="AE48" s="8">
        <v>0</v>
      </c>
      <c r="AF48" s="8">
        <v>0</v>
      </c>
      <c r="AG48" s="8">
        <v>0</v>
      </c>
      <c r="AH48" s="8">
        <v>0</v>
      </c>
      <c r="AI48" s="8">
        <v>0</v>
      </c>
      <c r="AJ48" s="8">
        <v>0</v>
      </c>
      <c r="AK48" s="8">
        <v>0</v>
      </c>
      <c r="AL48" s="8">
        <v>0</v>
      </c>
      <c r="AM48" s="8">
        <v>0</v>
      </c>
    </row>
    <row r="49" spans="21:39">
      <c r="U49" s="2"/>
      <c r="V49" s="2"/>
      <c r="W49" s="195"/>
      <c r="X49" s="2" t="s">
        <v>16</v>
      </c>
      <c r="Y49" s="8">
        <v>0</v>
      </c>
      <c r="Z49" s="8">
        <v>0</v>
      </c>
      <c r="AA49" s="8">
        <v>0</v>
      </c>
      <c r="AB49" s="8">
        <v>0</v>
      </c>
      <c r="AC49" s="8">
        <v>0</v>
      </c>
      <c r="AD49" s="8">
        <v>0</v>
      </c>
      <c r="AE49" s="8">
        <v>0</v>
      </c>
      <c r="AF49" s="8">
        <v>0</v>
      </c>
      <c r="AG49" s="8">
        <v>0</v>
      </c>
      <c r="AH49" s="8">
        <v>0</v>
      </c>
      <c r="AI49" s="8">
        <v>0</v>
      </c>
      <c r="AJ49" s="8">
        <v>0</v>
      </c>
      <c r="AK49" s="8">
        <v>0</v>
      </c>
      <c r="AL49" s="8">
        <v>0</v>
      </c>
      <c r="AM49" s="8">
        <v>0</v>
      </c>
    </row>
    <row r="50" spans="21:39">
      <c r="U50" s="2"/>
      <c r="V50" s="2"/>
      <c r="W50" s="195"/>
      <c r="X50" s="2" t="s">
        <v>17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</row>
    <row r="51" spans="21:39">
      <c r="U51" s="2"/>
      <c r="V51" s="2"/>
      <c r="W51" s="195" t="s">
        <v>19</v>
      </c>
      <c r="X51" s="2" t="s">
        <v>15</v>
      </c>
      <c r="Y51" s="8">
        <v>0</v>
      </c>
      <c r="Z51" s="8">
        <v>0</v>
      </c>
      <c r="AA51" s="8">
        <v>0</v>
      </c>
      <c r="AB51" s="8">
        <v>0</v>
      </c>
      <c r="AC51" s="8">
        <v>0</v>
      </c>
      <c r="AD51" s="8">
        <v>0</v>
      </c>
      <c r="AE51" s="8">
        <v>0</v>
      </c>
      <c r="AF51" s="8">
        <v>0</v>
      </c>
      <c r="AG51" s="8">
        <v>0</v>
      </c>
      <c r="AH51" s="8">
        <v>0</v>
      </c>
      <c r="AI51" s="8">
        <v>0</v>
      </c>
      <c r="AJ51" s="8">
        <v>0</v>
      </c>
      <c r="AK51" s="8">
        <v>0</v>
      </c>
      <c r="AL51" s="8">
        <v>0</v>
      </c>
      <c r="AM51" s="8">
        <v>0</v>
      </c>
    </row>
    <row r="52" spans="21:39">
      <c r="U52" s="2"/>
      <c r="V52" s="2"/>
      <c r="W52" s="195"/>
      <c r="X52" s="2" t="s">
        <v>16</v>
      </c>
      <c r="Y52" s="8">
        <v>0</v>
      </c>
      <c r="Z52" s="8">
        <v>0</v>
      </c>
      <c r="AA52" s="8">
        <v>0</v>
      </c>
      <c r="AB52" s="8">
        <v>0</v>
      </c>
      <c r="AC52" s="8">
        <v>0</v>
      </c>
      <c r="AD52" s="8">
        <v>0</v>
      </c>
      <c r="AE52" s="8">
        <v>0</v>
      </c>
      <c r="AF52" s="8">
        <v>0</v>
      </c>
      <c r="AG52" s="8">
        <v>0</v>
      </c>
      <c r="AH52" s="8">
        <v>0</v>
      </c>
      <c r="AI52" s="8">
        <v>0</v>
      </c>
      <c r="AJ52" s="8">
        <v>0</v>
      </c>
      <c r="AK52" s="8">
        <v>0</v>
      </c>
      <c r="AL52" s="8">
        <v>0</v>
      </c>
      <c r="AM52" s="8">
        <v>0</v>
      </c>
    </row>
    <row r="53" spans="21:39">
      <c r="U53" s="2"/>
      <c r="V53" s="2"/>
      <c r="W53" s="195"/>
      <c r="X53" s="2" t="s">
        <v>17</v>
      </c>
      <c r="Y53" s="8">
        <v>0</v>
      </c>
      <c r="Z53" s="8">
        <v>0</v>
      </c>
      <c r="AA53" s="8">
        <v>0</v>
      </c>
      <c r="AB53" s="8">
        <v>0</v>
      </c>
      <c r="AC53" s="8">
        <v>0</v>
      </c>
      <c r="AD53" s="8">
        <v>0</v>
      </c>
      <c r="AE53" s="8">
        <v>0</v>
      </c>
      <c r="AF53" s="8">
        <v>0</v>
      </c>
      <c r="AG53" s="8">
        <v>0</v>
      </c>
      <c r="AH53" s="8">
        <v>0</v>
      </c>
      <c r="AI53" s="8">
        <v>0</v>
      </c>
      <c r="AJ53" s="8">
        <v>0</v>
      </c>
      <c r="AK53" s="8">
        <v>0</v>
      </c>
      <c r="AL53" s="8">
        <v>0</v>
      </c>
      <c r="AM53" s="8">
        <v>0</v>
      </c>
    </row>
    <row r="54" spans="21:39">
      <c r="U54" s="2"/>
      <c r="V54" s="2"/>
      <c r="W54" s="2"/>
      <c r="X54" s="2"/>
      <c r="Y54" s="2"/>
    </row>
    <row r="55" spans="21:39">
      <c r="U55" s="2"/>
      <c r="V55" s="2"/>
      <c r="W55" s="2"/>
      <c r="X55" s="2"/>
      <c r="Y55" s="2" t="s">
        <v>12</v>
      </c>
    </row>
    <row r="56" spans="21:39">
      <c r="U56" s="2"/>
      <c r="V56" s="2"/>
      <c r="W56" s="2"/>
      <c r="X56" s="2"/>
      <c r="Y56" s="2" t="s">
        <v>98</v>
      </c>
      <c r="Z56" s="2" t="s">
        <v>82</v>
      </c>
      <c r="AA56" s="2" t="s">
        <v>83</v>
      </c>
      <c r="AB56" s="2" t="s">
        <v>84</v>
      </c>
      <c r="AC56" s="2" t="s">
        <v>85</v>
      </c>
      <c r="AD56" s="2" t="s">
        <v>86</v>
      </c>
      <c r="AE56" s="2" t="s">
        <v>87</v>
      </c>
      <c r="AF56" s="2" t="s">
        <v>88</v>
      </c>
      <c r="AG56" s="2" t="s">
        <v>89</v>
      </c>
      <c r="AH56" s="2" t="s">
        <v>90</v>
      </c>
      <c r="AI56" s="2" t="s">
        <v>91</v>
      </c>
      <c r="AJ56" s="2" t="s">
        <v>92</v>
      </c>
      <c r="AK56" s="2" t="s">
        <v>93</v>
      </c>
      <c r="AL56" s="57" t="s">
        <v>94</v>
      </c>
      <c r="AM56" s="44" t="s">
        <v>95</v>
      </c>
    </row>
    <row r="57" spans="21:39">
      <c r="U57" s="2"/>
      <c r="V57" s="2"/>
      <c r="W57" s="107" t="s">
        <v>65</v>
      </c>
      <c r="X57" s="2"/>
      <c r="Y57" s="8">
        <v>0</v>
      </c>
      <c r="Z57" s="8">
        <v>0</v>
      </c>
      <c r="AA57" s="8">
        <v>0</v>
      </c>
      <c r="AB57" s="8">
        <v>0</v>
      </c>
      <c r="AC57" s="8">
        <v>0</v>
      </c>
      <c r="AD57" s="8">
        <v>0</v>
      </c>
      <c r="AE57" s="8">
        <v>0</v>
      </c>
      <c r="AF57" s="8">
        <v>0</v>
      </c>
      <c r="AG57" s="8">
        <v>0</v>
      </c>
      <c r="AH57" s="8">
        <v>0</v>
      </c>
      <c r="AI57" s="8">
        <v>0</v>
      </c>
      <c r="AJ57" s="8">
        <v>0</v>
      </c>
      <c r="AK57" s="8">
        <v>0</v>
      </c>
      <c r="AL57" s="8">
        <v>0</v>
      </c>
      <c r="AM57" s="8">
        <v>0</v>
      </c>
    </row>
    <row r="58" spans="21:39">
      <c r="U58" s="2"/>
      <c r="V58" s="2"/>
      <c r="W58" s="195" t="s">
        <v>20</v>
      </c>
      <c r="X58" s="2" t="s">
        <v>15</v>
      </c>
      <c r="Y58" s="8">
        <v>0</v>
      </c>
      <c r="Z58" s="8">
        <v>0</v>
      </c>
      <c r="AA58" s="8">
        <v>0</v>
      </c>
      <c r="AB58" s="8">
        <v>0</v>
      </c>
      <c r="AC58" s="8">
        <v>0</v>
      </c>
      <c r="AD58" s="8">
        <v>0</v>
      </c>
      <c r="AE58" s="8">
        <v>0</v>
      </c>
      <c r="AF58" s="8">
        <v>0</v>
      </c>
      <c r="AG58" s="8">
        <v>0</v>
      </c>
      <c r="AH58" s="8">
        <v>0</v>
      </c>
      <c r="AI58" s="8">
        <v>0</v>
      </c>
      <c r="AJ58" s="8">
        <v>0</v>
      </c>
      <c r="AK58" s="8">
        <v>0</v>
      </c>
      <c r="AL58" s="8">
        <v>0</v>
      </c>
      <c r="AM58" s="8">
        <v>0</v>
      </c>
    </row>
    <row r="59" spans="21:39">
      <c r="U59" s="2"/>
      <c r="V59" s="2"/>
      <c r="W59" s="195"/>
      <c r="X59" s="2" t="s">
        <v>16</v>
      </c>
      <c r="Y59" s="8">
        <v>0</v>
      </c>
      <c r="Z59" s="8">
        <v>0</v>
      </c>
      <c r="AA59" s="8">
        <v>0</v>
      </c>
      <c r="AB59" s="8">
        <v>0</v>
      </c>
      <c r="AC59" s="8">
        <v>0</v>
      </c>
      <c r="AD59" s="8">
        <v>0</v>
      </c>
      <c r="AE59" s="8">
        <v>0</v>
      </c>
      <c r="AF59" s="8">
        <v>0</v>
      </c>
      <c r="AG59" s="8">
        <v>0</v>
      </c>
      <c r="AH59" s="8">
        <v>0</v>
      </c>
      <c r="AI59" s="8">
        <v>0</v>
      </c>
      <c r="AJ59" s="8">
        <v>0</v>
      </c>
      <c r="AK59" s="8">
        <v>0</v>
      </c>
      <c r="AL59" s="8">
        <v>0</v>
      </c>
      <c r="AM59" s="8">
        <v>0</v>
      </c>
    </row>
    <row r="60" spans="21:39">
      <c r="U60" s="2"/>
      <c r="V60" s="2"/>
      <c r="W60" s="195"/>
      <c r="X60" s="2" t="s">
        <v>17</v>
      </c>
      <c r="Y60" s="8">
        <v>0</v>
      </c>
      <c r="Z60" s="8">
        <v>0</v>
      </c>
      <c r="AA60" s="8">
        <v>0</v>
      </c>
      <c r="AB60" s="8">
        <v>0</v>
      </c>
      <c r="AC60" s="8">
        <v>0</v>
      </c>
      <c r="AD60" s="8">
        <v>0</v>
      </c>
      <c r="AE60" s="8">
        <v>0</v>
      </c>
      <c r="AF60" s="8">
        <v>0</v>
      </c>
      <c r="AG60" s="8">
        <v>0</v>
      </c>
      <c r="AH60" s="8">
        <v>0</v>
      </c>
      <c r="AI60" s="8">
        <v>0</v>
      </c>
      <c r="AJ60" s="8">
        <v>0</v>
      </c>
      <c r="AK60" s="8">
        <v>0</v>
      </c>
      <c r="AL60" s="8">
        <v>0</v>
      </c>
      <c r="AM60" s="8">
        <v>0</v>
      </c>
    </row>
    <row r="61" spans="21:39">
      <c r="U61" s="2"/>
      <c r="V61" s="2"/>
      <c r="W61" s="195" t="s">
        <v>19</v>
      </c>
      <c r="X61" s="2" t="s">
        <v>15</v>
      </c>
      <c r="Y61" s="8">
        <v>0</v>
      </c>
      <c r="Z61" s="8">
        <v>0</v>
      </c>
      <c r="AA61" s="8">
        <v>0</v>
      </c>
      <c r="AB61" s="8">
        <v>0</v>
      </c>
      <c r="AC61" s="8">
        <v>0</v>
      </c>
      <c r="AD61" s="8">
        <v>0</v>
      </c>
      <c r="AE61" s="8">
        <v>0</v>
      </c>
      <c r="AF61" s="8">
        <v>0</v>
      </c>
      <c r="AG61" s="8">
        <v>0</v>
      </c>
      <c r="AH61" s="8">
        <v>0</v>
      </c>
      <c r="AI61" s="8">
        <v>0</v>
      </c>
      <c r="AJ61" s="8">
        <v>0</v>
      </c>
      <c r="AK61" s="8">
        <v>0</v>
      </c>
      <c r="AL61" s="8">
        <v>0</v>
      </c>
      <c r="AM61" s="8">
        <v>0</v>
      </c>
    </row>
    <row r="62" spans="21:39">
      <c r="U62" s="2"/>
      <c r="V62" s="2"/>
      <c r="W62" s="195"/>
      <c r="X62" s="2" t="s">
        <v>16</v>
      </c>
      <c r="Y62" s="8">
        <v>0</v>
      </c>
      <c r="Z62" s="8">
        <v>0</v>
      </c>
      <c r="AA62" s="8">
        <v>0</v>
      </c>
      <c r="AB62" s="8">
        <v>0</v>
      </c>
      <c r="AC62" s="8">
        <v>0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  <c r="AJ62" s="8">
        <v>0</v>
      </c>
      <c r="AK62" s="8">
        <v>0</v>
      </c>
      <c r="AL62" s="8">
        <v>0</v>
      </c>
      <c r="AM62" s="8">
        <v>0</v>
      </c>
    </row>
    <row r="63" spans="21:39">
      <c r="U63" s="2"/>
      <c r="V63" s="2"/>
      <c r="W63" s="195"/>
      <c r="X63" s="2" t="s">
        <v>17</v>
      </c>
      <c r="Y63" s="8">
        <v>0</v>
      </c>
      <c r="Z63" s="8">
        <v>0</v>
      </c>
      <c r="AA63" s="8">
        <v>0</v>
      </c>
      <c r="AB63" s="8">
        <v>0</v>
      </c>
      <c r="AC63" s="8">
        <v>0</v>
      </c>
      <c r="AD63" s="8">
        <v>0</v>
      </c>
      <c r="AE63" s="8">
        <v>0</v>
      </c>
      <c r="AF63" s="8">
        <v>0</v>
      </c>
      <c r="AG63" s="8">
        <v>0</v>
      </c>
      <c r="AH63" s="8">
        <v>0</v>
      </c>
      <c r="AI63" s="8">
        <v>0</v>
      </c>
      <c r="AJ63" s="8">
        <v>0</v>
      </c>
      <c r="AK63" s="8">
        <v>0</v>
      </c>
      <c r="AL63" s="8">
        <v>0</v>
      </c>
      <c r="AM63" s="8">
        <v>0</v>
      </c>
    </row>
    <row r="64" spans="21:39">
      <c r="U64" s="2"/>
      <c r="V64" s="2"/>
      <c r="W64" s="2"/>
      <c r="X64" s="2"/>
      <c r="Y64" s="2"/>
    </row>
    <row r="65" spans="21:39">
      <c r="U65" s="2"/>
      <c r="V65" s="2" t="s">
        <v>100</v>
      </c>
      <c r="Y65" s="2" t="s">
        <v>13</v>
      </c>
    </row>
    <row r="66" spans="21:39">
      <c r="U66" s="2"/>
      <c r="V66" s="2" t="str">
        <f>Simulation!B15</f>
        <v>Stroke</v>
      </c>
      <c r="W66" s="2" t="s">
        <v>101</v>
      </c>
      <c r="X66" s="2" t="s">
        <v>102</v>
      </c>
      <c r="Y66" s="2" t="s">
        <v>98</v>
      </c>
      <c r="Z66" s="2" t="s">
        <v>82</v>
      </c>
      <c r="AA66" s="2" t="s">
        <v>83</v>
      </c>
      <c r="AB66" s="2" t="s">
        <v>84</v>
      </c>
      <c r="AC66" s="2" t="s">
        <v>85</v>
      </c>
      <c r="AD66" s="2" t="s">
        <v>86</v>
      </c>
      <c r="AE66" s="2" t="s">
        <v>87</v>
      </c>
      <c r="AF66" s="2" t="s">
        <v>88</v>
      </c>
      <c r="AG66" s="2" t="s">
        <v>89</v>
      </c>
      <c r="AH66" s="2" t="s">
        <v>90</v>
      </c>
      <c r="AI66" s="2" t="s">
        <v>91</v>
      </c>
      <c r="AJ66" s="2" t="s">
        <v>92</v>
      </c>
      <c r="AK66" s="2" t="s">
        <v>93</v>
      </c>
      <c r="AL66" s="57" t="s">
        <v>94</v>
      </c>
      <c r="AM66" s="44" t="s">
        <v>95</v>
      </c>
    </row>
    <row r="67" spans="21:39">
      <c r="U67" s="2"/>
      <c r="V67" s="2"/>
      <c r="W67" s="107" t="s">
        <v>65</v>
      </c>
      <c r="X67" s="2"/>
      <c r="Y67" s="8">
        <v>0</v>
      </c>
      <c r="Z67" s="8">
        <v>0</v>
      </c>
      <c r="AA67" s="8">
        <v>0</v>
      </c>
      <c r="AB67" s="8">
        <v>0</v>
      </c>
      <c r="AC67" s="8">
        <v>0</v>
      </c>
      <c r="AD67" s="8">
        <v>0</v>
      </c>
      <c r="AE67" s="8">
        <v>0</v>
      </c>
      <c r="AF67" s="8">
        <v>0</v>
      </c>
      <c r="AG67" s="8">
        <v>0</v>
      </c>
      <c r="AH67" s="8">
        <v>0</v>
      </c>
      <c r="AI67" s="8">
        <v>0</v>
      </c>
      <c r="AJ67" s="8">
        <v>0</v>
      </c>
      <c r="AK67" s="8">
        <v>0</v>
      </c>
      <c r="AL67" s="8">
        <v>0</v>
      </c>
      <c r="AM67" s="8">
        <v>0</v>
      </c>
    </row>
    <row r="68" spans="21:39">
      <c r="U68" s="2"/>
      <c r="V68" s="2"/>
      <c r="W68" s="195" t="s">
        <v>20</v>
      </c>
      <c r="X68" s="2" t="s">
        <v>15</v>
      </c>
      <c r="Y68" s="8">
        <v>0</v>
      </c>
      <c r="Z68" s="8">
        <v>0</v>
      </c>
      <c r="AA68" s="8">
        <v>0</v>
      </c>
      <c r="AB68" s="8">
        <v>0</v>
      </c>
      <c r="AC68" s="8">
        <v>0</v>
      </c>
      <c r="AD68" s="8">
        <v>0</v>
      </c>
      <c r="AE68" s="8">
        <v>0</v>
      </c>
      <c r="AF68" s="8">
        <v>0</v>
      </c>
      <c r="AG68" s="8">
        <v>0</v>
      </c>
      <c r="AH68" s="8">
        <v>0</v>
      </c>
      <c r="AI68" s="8">
        <v>0</v>
      </c>
      <c r="AJ68" s="8">
        <v>0</v>
      </c>
      <c r="AK68" s="8">
        <v>0</v>
      </c>
      <c r="AL68" s="8">
        <v>0</v>
      </c>
      <c r="AM68" s="8">
        <v>0</v>
      </c>
    </row>
    <row r="69" spans="21:39">
      <c r="U69" s="2"/>
      <c r="V69" s="2"/>
      <c r="W69" s="195"/>
      <c r="X69" s="2" t="s">
        <v>16</v>
      </c>
      <c r="Y69" s="8">
        <v>0</v>
      </c>
      <c r="Z69" s="8">
        <v>0</v>
      </c>
      <c r="AA69" s="8">
        <v>0</v>
      </c>
      <c r="AB69" s="8">
        <v>0</v>
      </c>
      <c r="AC69" s="8">
        <v>0</v>
      </c>
      <c r="AD69" s="8">
        <v>0</v>
      </c>
      <c r="AE69" s="8">
        <v>0</v>
      </c>
      <c r="AF69" s="8">
        <v>0</v>
      </c>
      <c r="AG69" s="8">
        <v>0</v>
      </c>
      <c r="AH69" s="8">
        <v>0</v>
      </c>
      <c r="AI69" s="8">
        <v>0</v>
      </c>
      <c r="AJ69" s="8">
        <v>0</v>
      </c>
      <c r="AK69" s="8">
        <v>0</v>
      </c>
      <c r="AL69" s="8">
        <v>0</v>
      </c>
      <c r="AM69" s="8">
        <v>0</v>
      </c>
    </row>
    <row r="70" spans="21:39">
      <c r="U70" s="2"/>
      <c r="V70" s="2"/>
      <c r="W70" s="195"/>
      <c r="X70" s="2" t="s">
        <v>17</v>
      </c>
      <c r="Y70" s="8">
        <v>0</v>
      </c>
      <c r="Z70" s="8">
        <v>0</v>
      </c>
      <c r="AA70" s="8">
        <v>0</v>
      </c>
      <c r="AB70" s="8">
        <v>0</v>
      </c>
      <c r="AC70" s="8">
        <v>0</v>
      </c>
      <c r="AD70" s="8">
        <v>0</v>
      </c>
      <c r="AE70" s="8">
        <v>0</v>
      </c>
      <c r="AF70" s="8">
        <v>0</v>
      </c>
      <c r="AG70" s="8">
        <v>0</v>
      </c>
      <c r="AH70" s="8">
        <v>0</v>
      </c>
      <c r="AI70" s="8">
        <v>0</v>
      </c>
      <c r="AJ70" s="8">
        <v>0</v>
      </c>
      <c r="AK70" s="8">
        <v>0</v>
      </c>
      <c r="AL70" s="8">
        <v>0</v>
      </c>
      <c r="AM70" s="8">
        <v>0</v>
      </c>
    </row>
    <row r="71" spans="21:39">
      <c r="U71" s="2"/>
      <c r="V71" s="2"/>
      <c r="W71" s="195" t="s">
        <v>19</v>
      </c>
      <c r="X71" s="2" t="s">
        <v>15</v>
      </c>
      <c r="Y71" s="8">
        <v>0</v>
      </c>
      <c r="Z71" s="8">
        <v>0</v>
      </c>
      <c r="AA71" s="8">
        <v>0</v>
      </c>
      <c r="AB71" s="8">
        <v>0</v>
      </c>
      <c r="AC71" s="8">
        <v>0</v>
      </c>
      <c r="AD71" s="8">
        <v>0</v>
      </c>
      <c r="AE71" s="8">
        <v>0</v>
      </c>
      <c r="AF71" s="8">
        <v>0</v>
      </c>
      <c r="AG71" s="8">
        <v>0</v>
      </c>
      <c r="AH71" s="8">
        <v>0</v>
      </c>
      <c r="AI71" s="8">
        <v>0</v>
      </c>
      <c r="AJ71" s="8">
        <v>0</v>
      </c>
      <c r="AK71" s="8">
        <v>0</v>
      </c>
      <c r="AL71" s="8">
        <v>0</v>
      </c>
      <c r="AM71" s="8">
        <v>0</v>
      </c>
    </row>
    <row r="72" spans="21:39">
      <c r="U72" s="2"/>
      <c r="V72" s="2"/>
      <c r="W72" s="195"/>
      <c r="X72" s="2" t="s">
        <v>16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  <c r="AD72" s="8">
        <v>0</v>
      </c>
      <c r="AE72" s="8">
        <v>0</v>
      </c>
      <c r="AF72" s="8">
        <v>0</v>
      </c>
      <c r="AG72" s="8">
        <v>0</v>
      </c>
      <c r="AH72" s="8">
        <v>0</v>
      </c>
      <c r="AI72" s="8">
        <v>0</v>
      </c>
      <c r="AJ72" s="8">
        <v>0</v>
      </c>
      <c r="AK72" s="8">
        <v>0</v>
      </c>
      <c r="AL72" s="8">
        <v>0</v>
      </c>
      <c r="AM72" s="8">
        <v>0</v>
      </c>
    </row>
    <row r="73" spans="21:39">
      <c r="U73" s="2"/>
      <c r="V73" s="2"/>
      <c r="W73" s="195"/>
      <c r="X73" s="2" t="s">
        <v>17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  <c r="AD73" s="8">
        <v>0</v>
      </c>
      <c r="AE73" s="8">
        <v>0</v>
      </c>
      <c r="AF73" s="8">
        <v>0</v>
      </c>
      <c r="AG73" s="8">
        <v>0</v>
      </c>
      <c r="AH73" s="8">
        <v>0</v>
      </c>
      <c r="AI73" s="8">
        <v>0</v>
      </c>
      <c r="AJ73" s="8">
        <v>0</v>
      </c>
      <c r="AK73" s="8">
        <v>0</v>
      </c>
      <c r="AL73" s="8">
        <v>0</v>
      </c>
      <c r="AM73" s="8">
        <v>0</v>
      </c>
    </row>
    <row r="74" spans="21:39">
      <c r="U74" s="2"/>
      <c r="V74" s="2"/>
      <c r="W74" s="2"/>
      <c r="X74" s="2"/>
      <c r="Y74" s="2"/>
    </row>
    <row r="75" spans="21:39">
      <c r="U75" s="2"/>
      <c r="V75" s="2"/>
      <c r="W75" s="2"/>
      <c r="X75" s="2"/>
      <c r="Y75" s="2" t="s">
        <v>12</v>
      </c>
    </row>
    <row r="76" spans="21:39">
      <c r="U76" s="2"/>
      <c r="V76" s="2"/>
      <c r="W76" s="2"/>
      <c r="X76" s="2"/>
      <c r="Y76" s="2" t="s">
        <v>98</v>
      </c>
      <c r="Z76" s="2" t="s">
        <v>82</v>
      </c>
      <c r="AA76" s="2" t="s">
        <v>83</v>
      </c>
      <c r="AB76" s="2" t="s">
        <v>84</v>
      </c>
      <c r="AC76" s="2" t="s">
        <v>85</v>
      </c>
      <c r="AD76" s="2" t="s">
        <v>86</v>
      </c>
      <c r="AE76" s="2" t="s">
        <v>87</v>
      </c>
      <c r="AF76" s="2" t="s">
        <v>88</v>
      </c>
      <c r="AG76" s="2" t="s">
        <v>89</v>
      </c>
      <c r="AH76" s="2" t="s">
        <v>90</v>
      </c>
      <c r="AI76" s="2" t="s">
        <v>91</v>
      </c>
      <c r="AJ76" s="2" t="s">
        <v>92</v>
      </c>
      <c r="AK76" s="2" t="s">
        <v>93</v>
      </c>
      <c r="AL76" s="57" t="s">
        <v>94</v>
      </c>
      <c r="AM76" s="44" t="s">
        <v>95</v>
      </c>
    </row>
    <row r="77" spans="21:39">
      <c r="U77" s="2"/>
      <c r="V77" s="2"/>
      <c r="W77" s="107" t="s">
        <v>65</v>
      </c>
      <c r="X77" s="2"/>
      <c r="Y77" s="8">
        <v>0</v>
      </c>
      <c r="Z77" s="8">
        <v>0</v>
      </c>
      <c r="AA77" s="8">
        <v>0</v>
      </c>
      <c r="AB77" s="8">
        <v>0</v>
      </c>
      <c r="AC77" s="8">
        <v>0</v>
      </c>
      <c r="AD77" s="8">
        <v>0</v>
      </c>
      <c r="AE77" s="8">
        <v>0</v>
      </c>
      <c r="AF77" s="8">
        <v>0</v>
      </c>
      <c r="AG77" s="8">
        <v>0</v>
      </c>
      <c r="AH77" s="8">
        <v>0</v>
      </c>
      <c r="AI77" s="8">
        <v>0</v>
      </c>
      <c r="AJ77" s="8">
        <v>0</v>
      </c>
      <c r="AK77" s="8">
        <v>0</v>
      </c>
      <c r="AL77" s="8">
        <v>0</v>
      </c>
      <c r="AM77" s="8">
        <v>0</v>
      </c>
    </row>
    <row r="78" spans="21:39">
      <c r="U78" s="2"/>
      <c r="V78" s="2"/>
      <c r="W78" s="195" t="s">
        <v>20</v>
      </c>
      <c r="X78" s="2" t="s">
        <v>15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  <c r="AD78" s="8">
        <v>0</v>
      </c>
      <c r="AE78" s="8">
        <v>0</v>
      </c>
      <c r="AF78" s="8">
        <v>0</v>
      </c>
      <c r="AG78" s="8">
        <v>0</v>
      </c>
      <c r="AH78" s="8">
        <v>0</v>
      </c>
      <c r="AI78" s="8">
        <v>0</v>
      </c>
      <c r="AJ78" s="8">
        <v>0</v>
      </c>
      <c r="AK78" s="8">
        <v>0</v>
      </c>
      <c r="AL78" s="8">
        <v>0</v>
      </c>
      <c r="AM78" s="8">
        <v>0</v>
      </c>
    </row>
    <row r="79" spans="21:39">
      <c r="U79" s="2"/>
      <c r="V79" s="2"/>
      <c r="W79" s="195"/>
      <c r="X79" s="2" t="s">
        <v>16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  <c r="AD79" s="8">
        <v>0</v>
      </c>
      <c r="AE79" s="8">
        <v>0</v>
      </c>
      <c r="AF79" s="8">
        <v>0</v>
      </c>
      <c r="AG79" s="8">
        <v>0</v>
      </c>
      <c r="AH79" s="8">
        <v>0</v>
      </c>
      <c r="AI79" s="8">
        <v>0</v>
      </c>
      <c r="AJ79" s="8">
        <v>0</v>
      </c>
      <c r="AK79" s="8">
        <v>0</v>
      </c>
      <c r="AL79" s="8">
        <v>0</v>
      </c>
      <c r="AM79" s="8">
        <v>0</v>
      </c>
    </row>
    <row r="80" spans="21:39">
      <c r="U80" s="2"/>
      <c r="V80" s="2"/>
      <c r="W80" s="195"/>
      <c r="X80" s="2" t="s">
        <v>17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  <c r="AD80" s="8">
        <v>0</v>
      </c>
      <c r="AE80" s="8">
        <v>0</v>
      </c>
      <c r="AF80" s="8">
        <v>0</v>
      </c>
      <c r="AG80" s="8">
        <v>0</v>
      </c>
      <c r="AH80" s="8">
        <v>0</v>
      </c>
      <c r="AI80" s="8">
        <v>0</v>
      </c>
      <c r="AJ80" s="8">
        <v>0</v>
      </c>
      <c r="AK80" s="8">
        <v>0</v>
      </c>
      <c r="AL80" s="8">
        <v>0</v>
      </c>
      <c r="AM80" s="8">
        <v>0</v>
      </c>
    </row>
    <row r="81" spans="21:39">
      <c r="U81" s="2"/>
      <c r="V81" s="2"/>
      <c r="W81" s="195" t="s">
        <v>19</v>
      </c>
      <c r="X81" s="2" t="s">
        <v>15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  <c r="AD81" s="8">
        <v>0</v>
      </c>
      <c r="AE81" s="8">
        <v>0</v>
      </c>
      <c r="AF81" s="8">
        <v>0</v>
      </c>
      <c r="AG81" s="8">
        <v>0</v>
      </c>
      <c r="AH81" s="8">
        <v>0</v>
      </c>
      <c r="AI81" s="8">
        <v>0</v>
      </c>
      <c r="AJ81" s="8">
        <v>0</v>
      </c>
      <c r="AK81" s="8">
        <v>0</v>
      </c>
      <c r="AL81" s="8">
        <v>0</v>
      </c>
      <c r="AM81" s="8">
        <v>0</v>
      </c>
    </row>
    <row r="82" spans="21:39">
      <c r="U82" s="2"/>
      <c r="V82" s="2"/>
      <c r="W82" s="195"/>
      <c r="X82" s="2" t="s">
        <v>16</v>
      </c>
      <c r="Y82" s="8">
        <v>0</v>
      </c>
      <c r="Z82" s="8">
        <v>0</v>
      </c>
      <c r="AA82" s="8">
        <v>0</v>
      </c>
      <c r="AB82" s="8">
        <v>0</v>
      </c>
      <c r="AC82" s="8">
        <v>0</v>
      </c>
      <c r="AD82" s="8">
        <v>0</v>
      </c>
      <c r="AE82" s="8">
        <v>0</v>
      </c>
      <c r="AF82" s="8">
        <v>0</v>
      </c>
      <c r="AG82" s="8">
        <v>0</v>
      </c>
      <c r="AH82" s="8">
        <v>0</v>
      </c>
      <c r="AI82" s="8">
        <v>0</v>
      </c>
      <c r="AJ82" s="8">
        <v>0</v>
      </c>
      <c r="AK82" s="8">
        <v>0</v>
      </c>
      <c r="AL82" s="8">
        <v>0</v>
      </c>
      <c r="AM82" s="8">
        <v>0</v>
      </c>
    </row>
    <row r="83" spans="21:39">
      <c r="U83" s="2"/>
      <c r="V83" s="2"/>
      <c r="W83" s="195"/>
      <c r="X83" s="2" t="s">
        <v>17</v>
      </c>
      <c r="Y83" s="8">
        <v>0</v>
      </c>
      <c r="Z83" s="8">
        <v>0</v>
      </c>
      <c r="AA83" s="8">
        <v>0</v>
      </c>
      <c r="AB83" s="8">
        <v>0</v>
      </c>
      <c r="AC83" s="8">
        <v>0</v>
      </c>
      <c r="AD83" s="8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  <c r="AJ83" s="8">
        <v>0</v>
      </c>
      <c r="AK83" s="8">
        <v>0</v>
      </c>
      <c r="AL83" s="8">
        <v>0</v>
      </c>
      <c r="AM83" s="8">
        <v>0</v>
      </c>
    </row>
    <row r="84" spans="21:39">
      <c r="U84" s="2"/>
      <c r="V84" s="2"/>
      <c r="W84" s="2"/>
      <c r="X84" s="2"/>
      <c r="Y84" s="2"/>
    </row>
    <row r="85" spans="21:39">
      <c r="U85" s="2"/>
      <c r="V85" s="2" t="s">
        <v>100</v>
      </c>
      <c r="Y85" s="2" t="s">
        <v>13</v>
      </c>
    </row>
    <row r="86" spans="21:39">
      <c r="U86" s="2"/>
      <c r="V86" s="2" t="str">
        <f>Simulation!B16</f>
        <v>OthEvent</v>
      </c>
      <c r="W86" s="2" t="s">
        <v>101</v>
      </c>
      <c r="X86" s="2" t="s">
        <v>102</v>
      </c>
      <c r="Y86" s="2" t="s">
        <v>98</v>
      </c>
      <c r="Z86" s="2" t="s">
        <v>82</v>
      </c>
      <c r="AA86" s="2" t="s">
        <v>83</v>
      </c>
      <c r="AB86" s="2" t="s">
        <v>84</v>
      </c>
      <c r="AC86" s="2" t="s">
        <v>85</v>
      </c>
      <c r="AD86" s="2" t="s">
        <v>86</v>
      </c>
      <c r="AE86" s="2" t="s">
        <v>87</v>
      </c>
      <c r="AF86" s="2" t="s">
        <v>88</v>
      </c>
      <c r="AG86" s="2" t="s">
        <v>89</v>
      </c>
      <c r="AH86" s="2" t="s">
        <v>90</v>
      </c>
      <c r="AI86" s="2" t="s">
        <v>91</v>
      </c>
      <c r="AJ86" s="2" t="s">
        <v>92</v>
      </c>
      <c r="AK86" s="2" t="s">
        <v>93</v>
      </c>
      <c r="AL86" s="57" t="s">
        <v>94</v>
      </c>
      <c r="AM86" s="44" t="s">
        <v>95</v>
      </c>
    </row>
    <row r="87" spans="21:39">
      <c r="U87" s="2"/>
      <c r="V87" s="2"/>
      <c r="W87" s="107" t="s">
        <v>65</v>
      </c>
      <c r="X87" s="2"/>
      <c r="Y87" s="8">
        <v>0</v>
      </c>
      <c r="Z87" s="8">
        <v>0</v>
      </c>
      <c r="AA87" s="8">
        <v>0</v>
      </c>
      <c r="AB87" s="8">
        <v>0</v>
      </c>
      <c r="AC87" s="8">
        <v>0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  <c r="AJ87" s="8">
        <v>0</v>
      </c>
      <c r="AK87" s="8">
        <v>0</v>
      </c>
      <c r="AL87" s="8">
        <v>0</v>
      </c>
      <c r="AM87" s="8">
        <v>0</v>
      </c>
    </row>
    <row r="88" spans="21:39">
      <c r="U88" s="2"/>
      <c r="V88" s="2"/>
      <c r="W88" s="195" t="s">
        <v>20</v>
      </c>
      <c r="X88" s="2" t="s">
        <v>15</v>
      </c>
      <c r="Y88" s="8">
        <v>0</v>
      </c>
      <c r="Z88" s="8">
        <v>0</v>
      </c>
      <c r="AA88" s="8">
        <v>0</v>
      </c>
      <c r="AB88" s="8">
        <v>0</v>
      </c>
      <c r="AC88" s="8">
        <v>0</v>
      </c>
      <c r="AD88" s="8">
        <v>0</v>
      </c>
      <c r="AE88" s="8">
        <v>0</v>
      </c>
      <c r="AF88" s="8">
        <v>0</v>
      </c>
      <c r="AG88" s="8">
        <v>0</v>
      </c>
      <c r="AH88" s="8">
        <v>0</v>
      </c>
      <c r="AI88" s="8">
        <v>0</v>
      </c>
      <c r="AJ88" s="8">
        <v>0</v>
      </c>
      <c r="AK88" s="8">
        <v>0</v>
      </c>
      <c r="AL88" s="8">
        <v>0</v>
      </c>
      <c r="AM88" s="8">
        <v>0</v>
      </c>
    </row>
    <row r="89" spans="21:39">
      <c r="U89" s="2"/>
      <c r="V89" s="2"/>
      <c r="W89" s="195"/>
      <c r="X89" s="2" t="s">
        <v>16</v>
      </c>
      <c r="Y89" s="8">
        <v>0</v>
      </c>
      <c r="Z89" s="8">
        <v>0</v>
      </c>
      <c r="AA89" s="8">
        <v>0</v>
      </c>
      <c r="AB89" s="8">
        <v>0</v>
      </c>
      <c r="AC89" s="8">
        <v>0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8">
        <v>0</v>
      </c>
      <c r="AM89" s="8">
        <v>0</v>
      </c>
    </row>
    <row r="90" spans="21:39">
      <c r="U90" s="2"/>
      <c r="V90" s="2"/>
      <c r="W90" s="195"/>
      <c r="X90" s="2" t="s">
        <v>17</v>
      </c>
      <c r="Y90" s="8">
        <v>0</v>
      </c>
      <c r="Z90" s="8">
        <v>0</v>
      </c>
      <c r="AA90" s="8">
        <v>0</v>
      </c>
      <c r="AB90" s="8">
        <v>0</v>
      </c>
      <c r="AC90" s="8">
        <v>0</v>
      </c>
      <c r="AD90" s="8">
        <v>0</v>
      </c>
      <c r="AE90" s="8">
        <v>0</v>
      </c>
      <c r="AF90" s="8">
        <v>0</v>
      </c>
      <c r="AG90" s="8">
        <v>0</v>
      </c>
      <c r="AH90" s="8">
        <v>0</v>
      </c>
      <c r="AI90" s="8">
        <v>0</v>
      </c>
      <c r="AJ90" s="8">
        <v>0</v>
      </c>
      <c r="AK90" s="8">
        <v>0</v>
      </c>
      <c r="AL90" s="8">
        <v>0</v>
      </c>
      <c r="AM90" s="8">
        <v>0</v>
      </c>
    </row>
    <row r="91" spans="21:39">
      <c r="U91" s="2"/>
      <c r="V91" s="2"/>
      <c r="W91" s="195" t="s">
        <v>19</v>
      </c>
      <c r="X91" s="2" t="s">
        <v>15</v>
      </c>
      <c r="Y91" s="8">
        <v>0</v>
      </c>
      <c r="Z91" s="8">
        <v>0</v>
      </c>
      <c r="AA91" s="8">
        <v>0</v>
      </c>
      <c r="AB91" s="8">
        <v>0</v>
      </c>
      <c r="AC91" s="8">
        <v>0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  <c r="AJ91" s="8">
        <v>0</v>
      </c>
      <c r="AK91" s="8">
        <v>0</v>
      </c>
      <c r="AL91" s="8">
        <v>0</v>
      </c>
      <c r="AM91" s="8">
        <v>0</v>
      </c>
    </row>
    <row r="92" spans="21:39">
      <c r="U92" s="2"/>
      <c r="V92" s="2"/>
      <c r="W92" s="195"/>
      <c r="X92" s="2" t="s">
        <v>16</v>
      </c>
      <c r="Y92" s="8">
        <v>0</v>
      </c>
      <c r="Z92" s="8">
        <v>0</v>
      </c>
      <c r="AA92" s="8">
        <v>0</v>
      </c>
      <c r="AB92" s="8">
        <v>0</v>
      </c>
      <c r="AC92" s="8">
        <v>0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  <c r="AJ92" s="8">
        <v>0</v>
      </c>
      <c r="AK92" s="8">
        <v>0</v>
      </c>
      <c r="AL92" s="8">
        <v>0</v>
      </c>
      <c r="AM92" s="8">
        <v>0</v>
      </c>
    </row>
    <row r="93" spans="21:39">
      <c r="U93" s="2"/>
      <c r="V93" s="2"/>
      <c r="W93" s="195"/>
      <c r="X93" s="2" t="s">
        <v>17</v>
      </c>
      <c r="Y93" s="8">
        <v>0</v>
      </c>
      <c r="Z93" s="8">
        <v>0</v>
      </c>
      <c r="AA93" s="8">
        <v>0</v>
      </c>
      <c r="AB93" s="8">
        <v>0</v>
      </c>
      <c r="AC93" s="8">
        <v>0</v>
      </c>
      <c r="AD93" s="8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  <c r="AJ93" s="8">
        <v>0</v>
      </c>
      <c r="AK93" s="8">
        <v>0</v>
      </c>
      <c r="AL93" s="8">
        <v>0</v>
      </c>
      <c r="AM93" s="8">
        <v>0</v>
      </c>
    </row>
    <row r="94" spans="21:39">
      <c r="U94" s="2"/>
      <c r="V94" s="2"/>
      <c r="W94" s="2"/>
      <c r="X94" s="2"/>
      <c r="Y94" s="2"/>
    </row>
    <row r="95" spans="21:39">
      <c r="U95" s="2"/>
      <c r="V95" s="2"/>
      <c r="W95" s="2"/>
      <c r="X95" s="2"/>
      <c r="Y95" s="2" t="s">
        <v>12</v>
      </c>
    </row>
    <row r="96" spans="21:39">
      <c r="U96" s="2"/>
      <c r="V96" s="2"/>
      <c r="W96" s="2"/>
      <c r="X96" s="2"/>
      <c r="Y96" s="2" t="s">
        <v>98</v>
      </c>
      <c r="Z96" s="2" t="s">
        <v>82</v>
      </c>
      <c r="AA96" s="2" t="s">
        <v>83</v>
      </c>
      <c r="AB96" s="2" t="s">
        <v>84</v>
      </c>
      <c r="AC96" s="2" t="s">
        <v>85</v>
      </c>
      <c r="AD96" s="2" t="s">
        <v>86</v>
      </c>
      <c r="AE96" s="2" t="s">
        <v>87</v>
      </c>
      <c r="AF96" s="2" t="s">
        <v>88</v>
      </c>
      <c r="AG96" s="2" t="s">
        <v>89</v>
      </c>
      <c r="AH96" s="2" t="s">
        <v>90</v>
      </c>
      <c r="AI96" s="2" t="s">
        <v>91</v>
      </c>
      <c r="AJ96" s="2" t="s">
        <v>92</v>
      </c>
      <c r="AK96" s="2" t="s">
        <v>93</v>
      </c>
      <c r="AL96" s="57" t="s">
        <v>94</v>
      </c>
      <c r="AM96" s="44" t="s">
        <v>95</v>
      </c>
    </row>
    <row r="97" spans="21:39">
      <c r="U97" s="2"/>
      <c r="V97" s="2"/>
      <c r="W97" s="107" t="s">
        <v>65</v>
      </c>
      <c r="X97" s="2"/>
      <c r="Y97" s="8">
        <v>0</v>
      </c>
      <c r="Z97" s="8">
        <v>0</v>
      </c>
      <c r="AA97" s="8">
        <v>0</v>
      </c>
      <c r="AB97" s="8">
        <v>0</v>
      </c>
      <c r="AC97" s="8">
        <v>0</v>
      </c>
      <c r="AD97" s="8">
        <v>0</v>
      </c>
      <c r="AE97" s="8">
        <v>0</v>
      </c>
      <c r="AF97" s="8">
        <v>0</v>
      </c>
      <c r="AG97" s="8">
        <v>0</v>
      </c>
      <c r="AH97" s="8">
        <v>0</v>
      </c>
      <c r="AI97" s="8">
        <v>0</v>
      </c>
      <c r="AJ97" s="8">
        <v>0</v>
      </c>
      <c r="AK97" s="8">
        <v>0</v>
      </c>
      <c r="AL97" s="8">
        <v>0</v>
      </c>
      <c r="AM97" s="8">
        <v>0</v>
      </c>
    </row>
    <row r="98" spans="21:39">
      <c r="U98" s="2"/>
      <c r="V98" s="2"/>
      <c r="W98" s="195" t="s">
        <v>20</v>
      </c>
      <c r="X98" s="2" t="s">
        <v>15</v>
      </c>
      <c r="Y98" s="8">
        <v>0</v>
      </c>
      <c r="Z98" s="8">
        <v>0</v>
      </c>
      <c r="AA98" s="8">
        <v>0</v>
      </c>
      <c r="AB98" s="8">
        <v>0</v>
      </c>
      <c r="AC98" s="8">
        <v>0</v>
      </c>
      <c r="AD98" s="8">
        <v>0</v>
      </c>
      <c r="AE98" s="8">
        <v>0</v>
      </c>
      <c r="AF98" s="8">
        <v>0</v>
      </c>
      <c r="AG98" s="8">
        <v>0</v>
      </c>
      <c r="AH98" s="8">
        <v>0</v>
      </c>
      <c r="AI98" s="8">
        <v>0</v>
      </c>
      <c r="AJ98" s="8">
        <v>0</v>
      </c>
      <c r="AK98" s="8">
        <v>0</v>
      </c>
      <c r="AL98" s="8">
        <v>0</v>
      </c>
      <c r="AM98" s="8">
        <v>0</v>
      </c>
    </row>
    <row r="99" spans="21:39">
      <c r="U99" s="2"/>
      <c r="V99" s="2"/>
      <c r="W99" s="195"/>
      <c r="X99" s="2" t="s">
        <v>16</v>
      </c>
      <c r="Y99" s="8">
        <v>0</v>
      </c>
      <c r="Z99" s="8">
        <v>0</v>
      </c>
      <c r="AA99" s="8">
        <v>0</v>
      </c>
      <c r="AB99" s="8">
        <v>0</v>
      </c>
      <c r="AC99" s="8">
        <v>0</v>
      </c>
      <c r="AD99" s="8">
        <v>0</v>
      </c>
      <c r="AE99" s="8">
        <v>0</v>
      </c>
      <c r="AF99" s="8">
        <v>0</v>
      </c>
      <c r="AG99" s="8">
        <v>0</v>
      </c>
      <c r="AH99" s="8">
        <v>0</v>
      </c>
      <c r="AI99" s="8">
        <v>0</v>
      </c>
      <c r="AJ99" s="8">
        <v>0</v>
      </c>
      <c r="AK99" s="8">
        <v>0</v>
      </c>
      <c r="AL99" s="8">
        <v>0</v>
      </c>
      <c r="AM99" s="8">
        <v>0</v>
      </c>
    </row>
    <row r="100" spans="21:39">
      <c r="U100" s="2"/>
      <c r="V100" s="2"/>
      <c r="W100" s="195"/>
      <c r="X100" s="2" t="s">
        <v>17</v>
      </c>
      <c r="Y100" s="8">
        <v>0</v>
      </c>
      <c r="Z100" s="8">
        <v>0</v>
      </c>
      <c r="AA100" s="8">
        <v>0</v>
      </c>
      <c r="AB100" s="8">
        <v>0</v>
      </c>
      <c r="AC100" s="8">
        <v>0</v>
      </c>
      <c r="AD100" s="8">
        <v>0</v>
      </c>
      <c r="AE100" s="8">
        <v>0</v>
      </c>
      <c r="AF100" s="8">
        <v>0</v>
      </c>
      <c r="AG100" s="8">
        <v>0</v>
      </c>
      <c r="AH100" s="8">
        <v>0</v>
      </c>
      <c r="AI100" s="8">
        <v>0</v>
      </c>
      <c r="AJ100" s="8">
        <v>0</v>
      </c>
      <c r="AK100" s="8">
        <v>0</v>
      </c>
      <c r="AL100" s="8">
        <v>0</v>
      </c>
      <c r="AM100" s="8">
        <v>0</v>
      </c>
    </row>
    <row r="101" spans="21:39">
      <c r="U101" s="2"/>
      <c r="V101" s="2"/>
      <c r="W101" s="195" t="s">
        <v>19</v>
      </c>
      <c r="X101" s="2" t="s">
        <v>15</v>
      </c>
      <c r="Y101" s="8">
        <v>0</v>
      </c>
      <c r="Z101" s="8">
        <v>0</v>
      </c>
      <c r="AA101" s="8">
        <v>0</v>
      </c>
      <c r="AB101" s="8">
        <v>0</v>
      </c>
      <c r="AC101" s="8">
        <v>0</v>
      </c>
      <c r="AD101" s="8">
        <v>0</v>
      </c>
      <c r="AE101" s="8">
        <v>0</v>
      </c>
      <c r="AF101" s="8">
        <v>0</v>
      </c>
      <c r="AG101" s="8">
        <v>0</v>
      </c>
      <c r="AH101" s="8">
        <v>0</v>
      </c>
      <c r="AI101" s="8">
        <v>0</v>
      </c>
      <c r="AJ101" s="8">
        <v>0</v>
      </c>
      <c r="AK101" s="8">
        <v>0</v>
      </c>
      <c r="AL101" s="8">
        <v>0</v>
      </c>
      <c r="AM101" s="8">
        <v>0</v>
      </c>
    </row>
    <row r="102" spans="21:39">
      <c r="U102" s="2"/>
      <c r="V102" s="2"/>
      <c r="W102" s="195"/>
      <c r="X102" s="2" t="s">
        <v>16</v>
      </c>
      <c r="Y102" s="8">
        <v>0</v>
      </c>
      <c r="Z102" s="8">
        <v>0</v>
      </c>
      <c r="AA102" s="8">
        <v>0</v>
      </c>
      <c r="AB102" s="8">
        <v>0</v>
      </c>
      <c r="AC102" s="8">
        <v>0</v>
      </c>
      <c r="AD102" s="8">
        <v>0</v>
      </c>
      <c r="AE102" s="8">
        <v>0</v>
      </c>
      <c r="AF102" s="8">
        <v>0</v>
      </c>
      <c r="AG102" s="8">
        <v>0</v>
      </c>
      <c r="AH102" s="8">
        <v>0</v>
      </c>
      <c r="AI102" s="8">
        <v>0</v>
      </c>
      <c r="AJ102" s="8">
        <v>0</v>
      </c>
      <c r="AK102" s="8">
        <v>0</v>
      </c>
      <c r="AL102" s="8">
        <v>0</v>
      </c>
      <c r="AM102" s="8">
        <v>0</v>
      </c>
    </row>
    <row r="103" spans="21:39">
      <c r="U103" s="2"/>
      <c r="V103" s="2"/>
      <c r="W103" s="195"/>
      <c r="X103" s="2" t="s">
        <v>17</v>
      </c>
      <c r="Y103" s="8">
        <v>0</v>
      </c>
      <c r="Z103" s="8">
        <v>0</v>
      </c>
      <c r="AA103" s="8">
        <v>0</v>
      </c>
      <c r="AB103" s="8">
        <v>0</v>
      </c>
      <c r="AC103" s="8">
        <v>0</v>
      </c>
      <c r="AD103" s="8">
        <v>0</v>
      </c>
      <c r="AE103" s="8">
        <v>0</v>
      </c>
      <c r="AF103" s="8">
        <v>0</v>
      </c>
      <c r="AG103" s="8">
        <v>0</v>
      </c>
      <c r="AH103" s="8">
        <v>0</v>
      </c>
      <c r="AI103" s="8">
        <v>0</v>
      </c>
      <c r="AJ103" s="8">
        <v>0</v>
      </c>
      <c r="AK103" s="8">
        <v>0</v>
      </c>
      <c r="AL103" s="8">
        <v>0</v>
      </c>
      <c r="AM103" s="8">
        <v>0</v>
      </c>
    </row>
  </sheetData>
  <mergeCells count="20">
    <mergeCell ref="W58:W60"/>
    <mergeCell ref="W8:W10"/>
    <mergeCell ref="W11:W13"/>
    <mergeCell ref="W18:W20"/>
    <mergeCell ref="W21:W23"/>
    <mergeCell ref="W28:W30"/>
    <mergeCell ref="W31:W33"/>
    <mergeCell ref="W38:W40"/>
    <mergeCell ref="W41:W43"/>
    <mergeCell ref="W48:W50"/>
    <mergeCell ref="W51:W53"/>
    <mergeCell ref="W91:W93"/>
    <mergeCell ref="W98:W100"/>
    <mergeCell ref="W101:W103"/>
    <mergeCell ref="W61:W63"/>
    <mergeCell ref="W68:W70"/>
    <mergeCell ref="W71:W73"/>
    <mergeCell ref="W78:W80"/>
    <mergeCell ref="W81:W83"/>
    <mergeCell ref="W88:W90"/>
  </mergeCells>
  <pageMargins left="0.7" right="0.7" top="0.75" bottom="0.75" header="0.3" footer="0.3"/>
  <pageSetup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AY169"/>
  <sheetViews>
    <sheetView workbookViewId="0">
      <selection activeCell="I13" sqref="I13:S29"/>
    </sheetView>
  </sheetViews>
  <sheetFormatPr defaultColWidth="9.140625" defaultRowHeight="14.25"/>
  <cols>
    <col min="1" max="1" width="5.42578125" style="43" customWidth="1"/>
    <col min="2" max="2" width="10" style="27" customWidth="1"/>
    <col min="3" max="5" width="9.140625" style="27"/>
    <col min="6" max="6" width="9.140625" style="27" customWidth="1"/>
    <col min="7" max="7" width="2.85546875" style="130" customWidth="1"/>
    <col min="8" max="8" width="9.140625" style="27"/>
    <col min="9" max="9" width="11.28515625" style="27" customWidth="1"/>
    <col min="10" max="10" width="12" style="27" customWidth="1"/>
    <col min="11" max="12" width="9.140625" style="27"/>
    <col min="13" max="13" width="11.42578125" style="27" customWidth="1"/>
    <col min="14" max="16" width="9.140625" style="27"/>
    <col min="17" max="17" width="12" style="27" customWidth="1"/>
    <col min="18" max="20" width="9.140625" style="27"/>
    <col min="21" max="21" width="2.85546875" style="130" customWidth="1"/>
    <col min="22" max="22" width="9.140625" style="27"/>
    <col min="23" max="23" width="15.85546875" style="27" customWidth="1"/>
    <col min="24" max="24" width="12.7109375" style="27" customWidth="1"/>
    <col min="25" max="25" width="15.42578125" style="27" customWidth="1"/>
    <col min="26" max="26" width="13.42578125" style="27" customWidth="1"/>
    <col min="27" max="27" width="10.7109375" style="27" customWidth="1"/>
    <col min="28" max="28" width="9.42578125" style="27" bestFit="1" customWidth="1"/>
    <col min="29" max="29" width="9.42578125" style="27" customWidth="1"/>
    <col min="30" max="30" width="9.42578125" style="27" bestFit="1" customWidth="1"/>
    <col min="31" max="31" width="2.7109375" style="130" customWidth="1"/>
    <col min="32" max="32" width="9.42578125" style="27" bestFit="1" customWidth="1"/>
    <col min="33" max="33" width="11.42578125" style="27" customWidth="1"/>
    <col min="34" max="34" width="9.140625" style="27"/>
    <col min="35" max="35" width="9.140625" style="27" customWidth="1"/>
    <col min="36" max="36" width="9.140625" style="27"/>
    <col min="37" max="37" width="11.7109375" style="27" customWidth="1"/>
    <col min="38" max="40" width="9.140625" style="27"/>
    <col min="41" max="41" width="12.28515625" style="27" customWidth="1"/>
    <col min="42" max="45" width="9.140625" style="27"/>
    <col min="46" max="46" width="2.7109375" style="130" customWidth="1"/>
    <col min="47" max="16384" width="9.140625" style="27"/>
  </cols>
  <sheetData>
    <row r="1" spans="1:49" s="23" customFormat="1" ht="20.25">
      <c r="A1" s="41" t="s">
        <v>292</v>
      </c>
      <c r="G1" s="129"/>
      <c r="H1" s="41" t="s">
        <v>303</v>
      </c>
      <c r="U1" s="129"/>
      <c r="V1" s="41" t="s">
        <v>304</v>
      </c>
      <c r="AE1" s="130"/>
      <c r="AF1" s="41" t="s">
        <v>305</v>
      </c>
      <c r="AT1" s="130"/>
    </row>
    <row r="2" spans="1:49" s="1" customFormat="1">
      <c r="A2" s="42"/>
      <c r="B2" s="27"/>
      <c r="C2" s="27"/>
      <c r="D2" s="27"/>
      <c r="E2" s="27"/>
      <c r="F2" s="27"/>
      <c r="G2" s="130"/>
      <c r="H2" s="27"/>
      <c r="T2" s="27"/>
      <c r="U2" s="130"/>
      <c r="V2" s="27"/>
      <c r="AE2" s="130"/>
      <c r="AF2" s="139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30"/>
      <c r="AU2" s="156"/>
      <c r="AV2" s="27"/>
      <c r="AW2" s="27"/>
    </row>
    <row r="3" spans="1:49" s="1" customFormat="1">
      <c r="A3" s="12" t="s">
        <v>293</v>
      </c>
      <c r="B3" s="27"/>
      <c r="C3" s="27"/>
      <c r="D3" s="27"/>
      <c r="E3" s="27"/>
      <c r="F3" s="27"/>
      <c r="G3" s="130"/>
      <c r="H3" s="37" t="s">
        <v>260</v>
      </c>
      <c r="I3" s="2"/>
      <c r="J3" s="36"/>
      <c r="K3" s="2"/>
      <c r="R3" s="61"/>
      <c r="S3" s="61"/>
      <c r="T3" s="61"/>
      <c r="U3" s="130"/>
      <c r="V3" s="12" t="s">
        <v>298</v>
      </c>
      <c r="AE3" s="130"/>
      <c r="AF3" s="37" t="s">
        <v>260</v>
      </c>
      <c r="AH3" s="2"/>
      <c r="AI3" s="36"/>
      <c r="AJ3" s="2"/>
      <c r="AL3" s="138"/>
      <c r="AM3" s="138"/>
      <c r="AN3" s="114"/>
      <c r="AO3" s="139"/>
      <c r="AP3" s="139"/>
      <c r="AQ3" s="139"/>
      <c r="AR3" s="139"/>
      <c r="AS3" s="157"/>
      <c r="AT3" s="130"/>
      <c r="AU3" s="156"/>
      <c r="AV3" s="134"/>
      <c r="AW3" s="134"/>
    </row>
    <row r="4" spans="1:49" s="1" customFormat="1">
      <c r="A4" s="42"/>
      <c r="B4" s="27"/>
      <c r="C4" s="27"/>
      <c r="D4" s="27"/>
      <c r="E4" s="27"/>
      <c r="F4" s="27"/>
      <c r="G4" s="130"/>
      <c r="H4" s="36"/>
      <c r="I4" s="12"/>
      <c r="J4" s="12"/>
      <c r="K4" s="12"/>
      <c r="L4" s="2"/>
      <c r="R4" s="61"/>
      <c r="T4" s="27"/>
      <c r="U4" s="130"/>
      <c r="V4" s="27"/>
      <c r="W4" s="27"/>
      <c r="AE4" s="130"/>
      <c r="AF4" s="139"/>
      <c r="AG4" s="36"/>
      <c r="AH4" s="12"/>
      <c r="AI4" s="12"/>
      <c r="AJ4" s="12"/>
      <c r="AK4" s="2"/>
      <c r="AL4" s="156"/>
      <c r="AM4" s="156"/>
      <c r="AN4" s="156"/>
      <c r="AO4" s="156"/>
      <c r="AP4" s="156"/>
      <c r="AQ4" s="156"/>
      <c r="AR4" s="156"/>
      <c r="AS4" s="156"/>
      <c r="AT4" s="130"/>
      <c r="AU4" s="156"/>
      <c r="AV4" s="134"/>
      <c r="AW4" s="134"/>
    </row>
    <row r="5" spans="1:49" s="42" customFormat="1" ht="15" customHeight="1">
      <c r="A5" s="43"/>
      <c r="B5" s="2" t="s">
        <v>282</v>
      </c>
      <c r="C5" s="2" t="s">
        <v>13</v>
      </c>
      <c r="D5" s="2" t="s">
        <v>12</v>
      </c>
      <c r="E5" s="43"/>
      <c r="G5" s="130"/>
      <c r="H5" s="27"/>
      <c r="I5" s="8">
        <v>1</v>
      </c>
      <c r="J5" s="30" t="s">
        <v>42</v>
      </c>
      <c r="K5" s="1"/>
      <c r="L5" s="1"/>
      <c r="T5" s="43"/>
      <c r="U5" s="130"/>
      <c r="W5" s="64" t="s">
        <v>79</v>
      </c>
      <c r="X5" s="40" t="s">
        <v>80</v>
      </c>
      <c r="AE5" s="130"/>
      <c r="AF5" s="158"/>
      <c r="AG5" s="8">
        <v>1</v>
      </c>
      <c r="AH5" s="30" t="s">
        <v>42</v>
      </c>
      <c r="AI5" s="1"/>
      <c r="AK5" s="1"/>
      <c r="AL5" s="159"/>
      <c r="AM5" s="159"/>
      <c r="AN5" s="159"/>
      <c r="AO5" s="159"/>
      <c r="AP5" s="159"/>
      <c r="AQ5" s="159"/>
      <c r="AR5" s="159"/>
      <c r="AS5" s="159"/>
      <c r="AT5" s="130"/>
      <c r="AU5" s="159"/>
      <c r="AV5" s="154"/>
      <c r="AW5" s="155"/>
    </row>
    <row r="6" spans="1:49" s="42" customFormat="1" ht="15" customHeight="1">
      <c r="A6" s="43"/>
      <c r="B6" s="24">
        <v>0</v>
      </c>
      <c r="C6" s="25">
        <v>8.4340899323676099E-4</v>
      </c>
      <c r="D6" s="25">
        <v>3.4706924257080799E-3</v>
      </c>
      <c r="G6" s="130"/>
      <c r="L6" s="44"/>
      <c r="M6" s="44"/>
      <c r="N6" s="44"/>
      <c r="O6" s="44"/>
      <c r="P6" s="44"/>
      <c r="Q6" s="44"/>
      <c r="R6" s="44"/>
      <c r="S6" s="44"/>
      <c r="T6" s="40"/>
      <c r="U6" s="130"/>
      <c r="W6" s="144">
        <v>12</v>
      </c>
      <c r="X6" s="144">
        <v>60</v>
      </c>
      <c r="AE6" s="130"/>
      <c r="AF6" s="158"/>
      <c r="AG6" s="158"/>
      <c r="AH6" s="158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30"/>
      <c r="AU6" s="159"/>
      <c r="AV6" s="154"/>
      <c r="AW6" s="155"/>
    </row>
    <row r="7" spans="1:49" s="1" customFormat="1" ht="15" customHeight="1">
      <c r="A7" s="42"/>
      <c r="B7" s="24">
        <v>1</v>
      </c>
      <c r="C7" s="25">
        <v>4.61406313329027E-5</v>
      </c>
      <c r="D7" s="25">
        <v>1.8819972373962401E-4</v>
      </c>
      <c r="E7" s="27"/>
      <c r="G7" s="130"/>
      <c r="T7" s="27"/>
      <c r="U7" s="130"/>
      <c r="V7" s="27"/>
      <c r="Z7" s="27"/>
      <c r="AA7" s="27"/>
      <c r="AE7" s="130"/>
      <c r="AT7" s="130"/>
      <c r="AU7" s="156"/>
      <c r="AV7" s="134"/>
      <c r="AW7" s="134"/>
    </row>
    <row r="8" spans="1:49" s="2" customFormat="1">
      <c r="A8" s="44"/>
      <c r="B8" s="24">
        <v>2</v>
      </c>
      <c r="C8" s="25">
        <v>4.61099999277126E-5</v>
      </c>
      <c r="D8" s="25">
        <v>1.87877874147313E-4</v>
      </c>
      <c r="E8" s="27"/>
      <c r="F8" s="27"/>
      <c r="G8" s="131"/>
      <c r="H8" s="145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5"/>
      <c r="U8" s="130"/>
      <c r="V8" s="147"/>
      <c r="W8" s="147"/>
      <c r="X8" s="147"/>
      <c r="Y8" s="147"/>
      <c r="Z8" s="147"/>
      <c r="AA8" s="147"/>
      <c r="AB8" s="147"/>
      <c r="AC8" s="147"/>
      <c r="AD8" s="147"/>
      <c r="AE8" s="130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30"/>
      <c r="AU8" s="156"/>
      <c r="AV8" s="51"/>
      <c r="AW8" s="51"/>
    </row>
    <row r="9" spans="1:49" s="12" customFormat="1" ht="14.45" customHeight="1">
      <c r="A9" s="42"/>
      <c r="B9" s="24">
        <v>3</v>
      </c>
      <c r="C9" s="25">
        <v>4.6079399625198503E-5</v>
      </c>
      <c r="D9" s="25">
        <v>1.8755693769445501E-4</v>
      </c>
      <c r="E9" s="27"/>
      <c r="F9" s="27"/>
      <c r="G9" s="132"/>
      <c r="U9" s="130"/>
      <c r="AE9" s="130"/>
      <c r="AT9" s="130"/>
      <c r="AV9" s="49"/>
      <c r="AW9" s="49"/>
    </row>
    <row r="10" spans="1:49" s="1" customFormat="1">
      <c r="A10" s="42"/>
      <c r="B10" s="24">
        <v>4</v>
      </c>
      <c r="C10" s="25">
        <v>4.6048830412148703E-5</v>
      </c>
      <c r="D10" s="25">
        <v>1.8723691425603901E-4</v>
      </c>
      <c r="E10" s="27"/>
      <c r="F10" s="27"/>
      <c r="G10" s="130"/>
      <c r="T10" s="27"/>
      <c r="U10" s="130"/>
      <c r="V10" s="27"/>
      <c r="W10" s="35"/>
      <c r="X10" s="51"/>
      <c r="Y10" s="51"/>
      <c r="Z10" s="51"/>
      <c r="AA10" s="51"/>
      <c r="AE10" s="130"/>
      <c r="AT10" s="130"/>
      <c r="AV10" s="134"/>
      <c r="AW10" s="134"/>
    </row>
    <row r="11" spans="1:49" s="2" customFormat="1">
      <c r="A11" s="42"/>
      <c r="B11" s="24">
        <v>5</v>
      </c>
      <c r="C11" s="25">
        <v>1.5835324199797701E-5</v>
      </c>
      <c r="D11" s="25">
        <v>7.6150029087118694E-5</v>
      </c>
      <c r="F11" s="36"/>
      <c r="G11" s="131"/>
      <c r="H11" s="37" t="s">
        <v>295</v>
      </c>
      <c r="I11" s="1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27"/>
      <c r="U11" s="130"/>
      <c r="V11" s="27"/>
      <c r="W11" s="35"/>
      <c r="X11" s="51"/>
      <c r="Y11" s="51"/>
      <c r="Z11" s="51"/>
      <c r="AA11" s="51"/>
      <c r="AB11" s="1"/>
      <c r="AC11" s="1"/>
      <c r="AD11" s="1"/>
      <c r="AE11" s="130"/>
      <c r="AF11" s="37" t="s">
        <v>302</v>
      </c>
      <c r="AG11" s="139"/>
      <c r="AH11" s="139"/>
      <c r="AI11" s="156"/>
      <c r="AJ11" s="156"/>
      <c r="AK11" s="156"/>
      <c r="AL11" s="156"/>
      <c r="AM11" s="156"/>
      <c r="AN11" s="156"/>
      <c r="AO11" s="156"/>
      <c r="AP11" s="156"/>
      <c r="AQ11" s="156"/>
      <c r="AR11" s="1"/>
      <c r="AS11" s="1"/>
      <c r="AT11" s="130"/>
      <c r="AV11" s="51"/>
      <c r="AW11" s="51"/>
    </row>
    <row r="12" spans="1:49" s="1" customFormat="1">
      <c r="A12" s="42"/>
      <c r="B12" s="24">
        <v>6</v>
      </c>
      <c r="C12" s="25">
        <v>1.58317109791861E-5</v>
      </c>
      <c r="D12" s="25">
        <v>7.6097180299106198E-5</v>
      </c>
      <c r="F12" s="27"/>
      <c r="G12" s="130"/>
      <c r="H12" s="27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27"/>
      <c r="U12" s="130"/>
      <c r="V12" s="27"/>
      <c r="W12" s="35"/>
      <c r="X12" s="51"/>
      <c r="Y12" s="51"/>
      <c r="Z12" s="51"/>
      <c r="AA12" s="51"/>
      <c r="AE12" s="130"/>
      <c r="AF12" s="139"/>
      <c r="AG12" s="139"/>
      <c r="AH12" s="139"/>
      <c r="AI12" s="138"/>
      <c r="AJ12" s="138"/>
      <c r="AK12" s="156"/>
      <c r="AL12" s="156"/>
      <c r="AM12" s="156"/>
      <c r="AN12" s="156"/>
      <c r="AO12" s="156"/>
      <c r="AP12" s="156"/>
      <c r="AQ12" s="156"/>
      <c r="AT12" s="130"/>
      <c r="AV12" s="134"/>
      <c r="AW12" s="134"/>
    </row>
    <row r="13" spans="1:49" s="1" customFormat="1">
      <c r="A13" s="42"/>
      <c r="B13" s="24">
        <v>7</v>
      </c>
      <c r="C13" s="25">
        <v>1.5828099023562599E-5</v>
      </c>
      <c r="D13" s="25">
        <v>7.6044393131691201E-5</v>
      </c>
      <c r="F13" s="27"/>
      <c r="G13" s="130"/>
      <c r="H13" s="27"/>
      <c r="J13" s="110" t="s">
        <v>15</v>
      </c>
      <c r="K13" s="134"/>
      <c r="L13" s="134"/>
      <c r="N13" s="110" t="s">
        <v>16</v>
      </c>
      <c r="O13" s="134"/>
      <c r="P13" s="134"/>
      <c r="R13" s="110" t="s">
        <v>17</v>
      </c>
      <c r="S13" s="35"/>
      <c r="T13" s="27"/>
      <c r="U13" s="130"/>
      <c r="V13" s="27"/>
      <c r="W13" s="35"/>
      <c r="X13" s="51"/>
      <c r="Y13" s="51"/>
      <c r="Z13" s="51"/>
      <c r="AA13" s="51"/>
      <c r="AE13" s="130"/>
      <c r="AF13" s="139"/>
      <c r="AH13" s="133" t="s">
        <v>15</v>
      </c>
      <c r="AI13" s="156"/>
      <c r="AJ13" s="156"/>
      <c r="AK13" s="139"/>
      <c r="AL13" s="133" t="s">
        <v>16</v>
      </c>
      <c r="AM13" s="156"/>
      <c r="AN13" s="156"/>
      <c r="AO13" s="139"/>
      <c r="AP13" s="133" t="s">
        <v>17</v>
      </c>
      <c r="AQ13" s="156"/>
      <c r="AT13" s="130"/>
      <c r="AV13" s="134"/>
      <c r="AW13" s="134"/>
    </row>
    <row r="14" spans="1:49" s="1" customFormat="1">
      <c r="A14" s="42"/>
      <c r="B14" s="24">
        <v>8</v>
      </c>
      <c r="C14" s="25">
        <v>1.58244883325942E-5</v>
      </c>
      <c r="D14" s="25">
        <v>7.5991667579655697E-5</v>
      </c>
      <c r="F14" s="27"/>
      <c r="G14" s="130"/>
      <c r="H14" s="27"/>
      <c r="I14" s="139" t="s">
        <v>294</v>
      </c>
      <c r="J14" s="18" t="s">
        <v>13</v>
      </c>
      <c r="K14" s="18" t="s">
        <v>12</v>
      </c>
      <c r="L14" s="18"/>
      <c r="M14" s="139" t="s">
        <v>294</v>
      </c>
      <c r="N14" s="18" t="s">
        <v>13</v>
      </c>
      <c r="O14" s="18" t="s">
        <v>12</v>
      </c>
      <c r="P14" s="18"/>
      <c r="Q14" s="139" t="s">
        <v>294</v>
      </c>
      <c r="R14" s="18" t="s">
        <v>13</v>
      </c>
      <c r="S14" s="18" t="s">
        <v>12</v>
      </c>
      <c r="T14" s="27"/>
      <c r="U14" s="130"/>
      <c r="V14" s="27"/>
      <c r="W14" s="35"/>
      <c r="X14" s="51"/>
      <c r="Y14" s="51"/>
      <c r="Z14" s="51"/>
      <c r="AA14" s="51"/>
      <c r="AE14" s="130"/>
      <c r="AF14" s="139"/>
      <c r="AG14" s="139" t="s">
        <v>294</v>
      </c>
      <c r="AH14" s="18" t="s">
        <v>13</v>
      </c>
      <c r="AI14" s="18" t="s">
        <v>12</v>
      </c>
      <c r="AJ14" s="18"/>
      <c r="AK14" s="139" t="s">
        <v>294</v>
      </c>
      <c r="AL14" s="18" t="s">
        <v>13</v>
      </c>
      <c r="AM14" s="18" t="s">
        <v>12</v>
      </c>
      <c r="AN14" s="18"/>
      <c r="AO14" s="139" t="s">
        <v>294</v>
      </c>
      <c r="AP14" s="18" t="s">
        <v>13</v>
      </c>
      <c r="AQ14" s="18" t="s">
        <v>12</v>
      </c>
      <c r="AT14" s="130"/>
      <c r="AV14" s="134"/>
      <c r="AW14" s="134"/>
    </row>
    <row r="15" spans="1:49" s="1" customFormat="1">
      <c r="A15" s="42"/>
      <c r="B15" s="24">
        <v>9</v>
      </c>
      <c r="C15" s="25">
        <v>1.58208789060588E-5</v>
      </c>
      <c r="D15" s="25">
        <v>7.5939003637892605E-5</v>
      </c>
      <c r="F15" s="27"/>
      <c r="G15" s="130"/>
      <c r="H15" s="27"/>
      <c r="I15" s="18" t="s">
        <v>98</v>
      </c>
      <c r="J15" s="135">
        <v>1.1000000000000001</v>
      </c>
      <c r="K15" s="135">
        <v>1.1000000000000001</v>
      </c>
      <c r="L15" s="35"/>
      <c r="M15" s="18" t="s">
        <v>98</v>
      </c>
      <c r="N15" s="135">
        <v>1.2</v>
      </c>
      <c r="O15" s="135">
        <v>1.2</v>
      </c>
      <c r="P15" s="35"/>
      <c r="Q15" s="18" t="s">
        <v>98</v>
      </c>
      <c r="R15" s="135">
        <v>1.3</v>
      </c>
      <c r="S15" s="135">
        <v>1.3</v>
      </c>
      <c r="T15" s="27"/>
      <c r="U15" s="130"/>
      <c r="V15" s="27"/>
      <c r="W15" s="35"/>
      <c r="X15" s="51"/>
      <c r="Y15" s="51"/>
      <c r="Z15" s="51"/>
      <c r="AA15" s="51"/>
      <c r="AE15" s="130"/>
      <c r="AF15" s="139"/>
      <c r="AG15" s="114" t="s">
        <v>98</v>
      </c>
      <c r="AH15" s="165">
        <v>1.4</v>
      </c>
      <c r="AI15" s="165">
        <v>1.4</v>
      </c>
      <c r="AJ15" s="156"/>
      <c r="AK15" s="114" t="s">
        <v>98</v>
      </c>
      <c r="AL15" s="165">
        <v>1.5</v>
      </c>
      <c r="AM15" s="165">
        <v>1.5</v>
      </c>
      <c r="AN15" s="156"/>
      <c r="AO15" s="114" t="s">
        <v>98</v>
      </c>
      <c r="AP15" s="165">
        <v>1.6</v>
      </c>
      <c r="AQ15" s="165">
        <v>1.6</v>
      </c>
      <c r="AT15" s="130"/>
      <c r="AV15" s="134"/>
      <c r="AW15" s="134"/>
    </row>
    <row r="16" spans="1:49" s="1" customFormat="1">
      <c r="A16" s="42"/>
      <c r="B16" s="24">
        <v>10</v>
      </c>
      <c r="C16" s="25">
        <v>2.5209494758260401E-5</v>
      </c>
      <c r="D16" s="25">
        <v>8.2324971556468896E-5</v>
      </c>
      <c r="F16" s="27"/>
      <c r="G16" s="130"/>
      <c r="H16" s="27"/>
      <c r="I16" s="18" t="s">
        <v>82</v>
      </c>
      <c r="J16" s="135">
        <v>1.1000000000000001</v>
      </c>
      <c r="K16" s="135">
        <v>1.1000000000000001</v>
      </c>
      <c r="L16" s="35"/>
      <c r="M16" s="18" t="s">
        <v>82</v>
      </c>
      <c r="N16" s="135">
        <v>1.2</v>
      </c>
      <c r="O16" s="135">
        <v>1.2</v>
      </c>
      <c r="P16" s="35"/>
      <c r="Q16" s="18" t="s">
        <v>82</v>
      </c>
      <c r="R16" s="135">
        <v>1.3</v>
      </c>
      <c r="S16" s="135">
        <v>1.3</v>
      </c>
      <c r="T16" s="27"/>
      <c r="U16" s="130"/>
      <c r="V16" s="27"/>
      <c r="W16" s="35"/>
      <c r="X16" s="51"/>
      <c r="Y16" s="51"/>
      <c r="Z16" s="51"/>
      <c r="AE16" s="130"/>
      <c r="AF16" s="139"/>
      <c r="AG16" s="114" t="s">
        <v>82</v>
      </c>
      <c r="AH16" s="165">
        <v>1.4</v>
      </c>
      <c r="AI16" s="165">
        <v>1.4</v>
      </c>
      <c r="AJ16" s="156"/>
      <c r="AK16" s="114" t="s">
        <v>82</v>
      </c>
      <c r="AL16" s="165">
        <v>1.5</v>
      </c>
      <c r="AM16" s="165">
        <v>1.5</v>
      </c>
      <c r="AN16" s="156"/>
      <c r="AO16" s="114" t="s">
        <v>82</v>
      </c>
      <c r="AP16" s="165">
        <v>1.6</v>
      </c>
      <c r="AQ16" s="165">
        <v>1.6</v>
      </c>
      <c r="AT16" s="130"/>
      <c r="AV16" s="134"/>
      <c r="AW16" s="134"/>
    </row>
    <row r="17" spans="1:49" s="1" customFormat="1">
      <c r="A17" s="42"/>
      <c r="B17" s="24">
        <v>11</v>
      </c>
      <c r="C17" s="25">
        <v>2.5200333239494599E-5</v>
      </c>
      <c r="D17" s="25">
        <v>8.2263139492000397E-5</v>
      </c>
      <c r="F17" s="27"/>
      <c r="G17" s="130"/>
      <c r="H17" s="27"/>
      <c r="I17" s="18" t="s">
        <v>83</v>
      </c>
      <c r="J17" s="135">
        <v>1.1000000000000001</v>
      </c>
      <c r="K17" s="135">
        <v>1.1000000000000001</v>
      </c>
      <c r="L17" s="35"/>
      <c r="M17" s="18" t="s">
        <v>83</v>
      </c>
      <c r="N17" s="135">
        <v>1.2</v>
      </c>
      <c r="O17" s="135">
        <v>1.2</v>
      </c>
      <c r="P17" s="35"/>
      <c r="Q17" s="18" t="s">
        <v>83</v>
      </c>
      <c r="R17" s="135">
        <v>1.3</v>
      </c>
      <c r="S17" s="135">
        <v>1.3</v>
      </c>
      <c r="T17" s="27"/>
      <c r="U17" s="130"/>
      <c r="V17" s="27"/>
      <c r="W17" s="35"/>
      <c r="X17" s="51"/>
      <c r="Y17" s="51"/>
      <c r="Z17" s="51"/>
      <c r="AE17" s="130"/>
      <c r="AF17" s="139"/>
      <c r="AG17" s="114" t="s">
        <v>83</v>
      </c>
      <c r="AH17" s="165">
        <v>1.4</v>
      </c>
      <c r="AI17" s="165">
        <v>1.4</v>
      </c>
      <c r="AJ17" s="156"/>
      <c r="AK17" s="114" t="s">
        <v>83</v>
      </c>
      <c r="AL17" s="165">
        <v>1.5</v>
      </c>
      <c r="AM17" s="165">
        <v>1.5</v>
      </c>
      <c r="AN17" s="156"/>
      <c r="AO17" s="114" t="s">
        <v>83</v>
      </c>
      <c r="AP17" s="165">
        <v>1.6</v>
      </c>
      <c r="AQ17" s="165">
        <v>1.6</v>
      </c>
      <c r="AT17" s="130"/>
      <c r="AV17" s="134"/>
      <c r="AW17" s="134"/>
    </row>
    <row r="18" spans="1:49" s="1" customFormat="1">
      <c r="A18" s="42"/>
      <c r="B18" s="24">
        <v>12</v>
      </c>
      <c r="C18" s="25">
        <v>2.5191176838190701E-5</v>
      </c>
      <c r="D18" s="25">
        <v>8.2201386071734106E-5</v>
      </c>
      <c r="F18" s="27"/>
      <c r="G18" s="130"/>
      <c r="H18" s="27"/>
      <c r="I18" s="18" t="s">
        <v>84</v>
      </c>
      <c r="J18" s="135">
        <v>1.1000000000000001</v>
      </c>
      <c r="K18" s="135">
        <v>1.1000000000000001</v>
      </c>
      <c r="L18" s="35"/>
      <c r="M18" s="18" t="s">
        <v>84</v>
      </c>
      <c r="N18" s="135">
        <v>1.2</v>
      </c>
      <c r="O18" s="135">
        <v>1.2</v>
      </c>
      <c r="P18" s="35"/>
      <c r="Q18" s="18" t="s">
        <v>84</v>
      </c>
      <c r="R18" s="135">
        <v>1.3</v>
      </c>
      <c r="S18" s="135">
        <v>1.3</v>
      </c>
      <c r="T18" s="27"/>
      <c r="U18" s="130"/>
      <c r="V18" s="27"/>
      <c r="AE18" s="130"/>
      <c r="AF18" s="139"/>
      <c r="AG18" s="114" t="s">
        <v>84</v>
      </c>
      <c r="AH18" s="165">
        <v>1.4</v>
      </c>
      <c r="AI18" s="165">
        <v>1.4</v>
      </c>
      <c r="AJ18" s="156"/>
      <c r="AK18" s="114" t="s">
        <v>84</v>
      </c>
      <c r="AL18" s="165">
        <v>1.5</v>
      </c>
      <c r="AM18" s="165">
        <v>1.5</v>
      </c>
      <c r="AN18" s="156"/>
      <c r="AO18" s="114" t="s">
        <v>84</v>
      </c>
      <c r="AP18" s="165">
        <v>1.6</v>
      </c>
      <c r="AQ18" s="165">
        <v>1.6</v>
      </c>
      <c r="AT18" s="130"/>
      <c r="AV18" s="134"/>
      <c r="AW18" s="134"/>
    </row>
    <row r="19" spans="1:49" s="1" customFormat="1">
      <c r="A19" s="42"/>
      <c r="B19" s="24">
        <v>13</v>
      </c>
      <c r="C19" s="25">
        <v>2.5182025553127699E-5</v>
      </c>
      <c r="D19" s="25">
        <v>8.2139711287232395E-5</v>
      </c>
      <c r="F19" s="27"/>
      <c r="G19" s="130"/>
      <c r="H19" s="27"/>
      <c r="I19" s="18" t="s">
        <v>85</v>
      </c>
      <c r="J19" s="135">
        <v>1.1000000000000001</v>
      </c>
      <c r="K19" s="135">
        <v>1.1000000000000001</v>
      </c>
      <c r="L19" s="35"/>
      <c r="M19" s="18" t="s">
        <v>85</v>
      </c>
      <c r="N19" s="135">
        <v>1.2</v>
      </c>
      <c r="O19" s="135">
        <v>1.2</v>
      </c>
      <c r="P19" s="35"/>
      <c r="Q19" s="18" t="s">
        <v>85</v>
      </c>
      <c r="R19" s="135">
        <v>1.3</v>
      </c>
      <c r="S19" s="135">
        <v>1.3</v>
      </c>
      <c r="T19" s="27"/>
      <c r="U19" s="130"/>
      <c r="V19" s="27"/>
      <c r="AE19" s="130"/>
      <c r="AF19" s="139"/>
      <c r="AG19" s="114" t="s">
        <v>85</v>
      </c>
      <c r="AH19" s="165">
        <v>1.4</v>
      </c>
      <c r="AI19" s="165">
        <v>1.4</v>
      </c>
      <c r="AJ19" s="156"/>
      <c r="AK19" s="114" t="s">
        <v>85</v>
      </c>
      <c r="AL19" s="165">
        <v>1.5</v>
      </c>
      <c r="AM19" s="165">
        <v>1.5</v>
      </c>
      <c r="AN19" s="156"/>
      <c r="AO19" s="114" t="s">
        <v>85</v>
      </c>
      <c r="AP19" s="165">
        <v>1.6</v>
      </c>
      <c r="AQ19" s="165">
        <v>1.6</v>
      </c>
      <c r="AT19" s="130"/>
      <c r="AV19" s="134"/>
      <c r="AW19" s="134"/>
    </row>
    <row r="20" spans="1:49" s="1" customFormat="1">
      <c r="A20" s="42"/>
      <c r="B20" s="24">
        <v>14</v>
      </c>
      <c r="C20" s="25">
        <v>2.51728793831951E-5</v>
      </c>
      <c r="D20" s="25">
        <v>8.2078115129391395E-5</v>
      </c>
      <c r="F20" s="27"/>
      <c r="G20" s="130"/>
      <c r="H20" s="27"/>
      <c r="I20" s="18" t="s">
        <v>86</v>
      </c>
      <c r="J20" s="135">
        <v>1.1000000000000001</v>
      </c>
      <c r="K20" s="135">
        <v>1.1000000000000001</v>
      </c>
      <c r="L20" s="35"/>
      <c r="M20" s="18" t="s">
        <v>86</v>
      </c>
      <c r="N20" s="135">
        <v>1.2</v>
      </c>
      <c r="O20" s="135">
        <v>1.2</v>
      </c>
      <c r="P20" s="35"/>
      <c r="Q20" s="18" t="s">
        <v>86</v>
      </c>
      <c r="R20" s="135">
        <v>1.3</v>
      </c>
      <c r="S20" s="135">
        <v>1.3</v>
      </c>
      <c r="T20" s="27"/>
      <c r="U20" s="130"/>
      <c r="V20" s="27"/>
      <c r="AE20" s="130"/>
      <c r="AF20" s="139"/>
      <c r="AG20" s="114" t="s">
        <v>86</v>
      </c>
      <c r="AH20" s="165">
        <v>1.4</v>
      </c>
      <c r="AI20" s="165">
        <v>1.4</v>
      </c>
      <c r="AJ20" s="156"/>
      <c r="AK20" s="114" t="s">
        <v>86</v>
      </c>
      <c r="AL20" s="165">
        <v>1.5</v>
      </c>
      <c r="AM20" s="165">
        <v>1.5</v>
      </c>
      <c r="AN20" s="156"/>
      <c r="AO20" s="114" t="s">
        <v>86</v>
      </c>
      <c r="AP20" s="165">
        <v>1.6</v>
      </c>
      <c r="AQ20" s="165">
        <v>1.6</v>
      </c>
      <c r="AT20" s="130"/>
      <c r="AV20" s="134"/>
      <c r="AW20" s="134"/>
    </row>
    <row r="21" spans="1:49" s="1" customFormat="1">
      <c r="A21" s="42"/>
      <c r="B21" s="24">
        <v>15</v>
      </c>
      <c r="C21" s="25">
        <v>6.7285522306170797E-5</v>
      </c>
      <c r="D21" s="25">
        <v>1.5094093972600799E-4</v>
      </c>
      <c r="F21" s="27"/>
      <c r="G21" s="130"/>
      <c r="H21" s="27"/>
      <c r="I21" s="18" t="s">
        <v>87</v>
      </c>
      <c r="J21" s="135">
        <v>1.1000000000000001</v>
      </c>
      <c r="K21" s="135">
        <v>1.1000000000000001</v>
      </c>
      <c r="L21" s="35"/>
      <c r="M21" s="18" t="s">
        <v>87</v>
      </c>
      <c r="N21" s="135">
        <v>1.2</v>
      </c>
      <c r="O21" s="135">
        <v>1.2</v>
      </c>
      <c r="P21" s="35"/>
      <c r="Q21" s="18" t="s">
        <v>87</v>
      </c>
      <c r="R21" s="135">
        <v>1.3</v>
      </c>
      <c r="S21" s="135">
        <v>1.3</v>
      </c>
      <c r="T21" s="27"/>
      <c r="U21" s="130"/>
      <c r="V21" s="27"/>
      <c r="AE21" s="130"/>
      <c r="AF21" s="139"/>
      <c r="AG21" s="114" t="s">
        <v>87</v>
      </c>
      <c r="AH21" s="165">
        <v>1.4</v>
      </c>
      <c r="AI21" s="165">
        <v>1.4</v>
      </c>
      <c r="AJ21" s="156"/>
      <c r="AK21" s="114" t="s">
        <v>87</v>
      </c>
      <c r="AL21" s="165">
        <v>1.5</v>
      </c>
      <c r="AM21" s="165">
        <v>1.5</v>
      </c>
      <c r="AN21" s="156"/>
      <c r="AO21" s="114" t="s">
        <v>87</v>
      </c>
      <c r="AP21" s="165">
        <v>1.6</v>
      </c>
      <c r="AQ21" s="165">
        <v>1.6</v>
      </c>
      <c r="AT21" s="130"/>
      <c r="AV21" s="134"/>
      <c r="AW21" s="134"/>
    </row>
    <row r="22" spans="1:49" s="1" customFormat="1">
      <c r="A22" s="42"/>
      <c r="B22" s="24">
        <v>16</v>
      </c>
      <c r="C22" s="25">
        <v>6.7220223783137607E-5</v>
      </c>
      <c r="D22" s="25">
        <v>1.5073294110501401E-4</v>
      </c>
      <c r="F22" s="27"/>
      <c r="G22" s="130"/>
      <c r="H22" s="27"/>
      <c r="I22" s="18" t="s">
        <v>88</v>
      </c>
      <c r="J22" s="135">
        <v>1.1000000000000001</v>
      </c>
      <c r="K22" s="135">
        <v>1.1000000000000001</v>
      </c>
      <c r="L22" s="35"/>
      <c r="M22" s="18" t="s">
        <v>88</v>
      </c>
      <c r="N22" s="135">
        <v>1.2</v>
      </c>
      <c r="O22" s="135">
        <v>1.2</v>
      </c>
      <c r="P22" s="35"/>
      <c r="Q22" s="18" t="s">
        <v>88</v>
      </c>
      <c r="R22" s="135">
        <v>1.3</v>
      </c>
      <c r="S22" s="135">
        <v>1.3</v>
      </c>
      <c r="T22" s="27"/>
      <c r="U22" s="130"/>
      <c r="V22" s="27"/>
      <c r="AE22" s="130"/>
      <c r="AF22" s="139"/>
      <c r="AG22" s="114" t="s">
        <v>88</v>
      </c>
      <c r="AH22" s="165">
        <v>1.4</v>
      </c>
      <c r="AI22" s="165">
        <v>1.4</v>
      </c>
      <c r="AJ22" s="156"/>
      <c r="AK22" s="114" t="s">
        <v>88</v>
      </c>
      <c r="AL22" s="165">
        <v>1.5</v>
      </c>
      <c r="AM22" s="165">
        <v>1.5</v>
      </c>
      <c r="AN22" s="156"/>
      <c r="AO22" s="114" t="s">
        <v>88</v>
      </c>
      <c r="AP22" s="165">
        <v>1.6</v>
      </c>
      <c r="AQ22" s="165">
        <v>1.6</v>
      </c>
      <c r="AT22" s="130"/>
      <c r="AV22" s="134"/>
      <c r="AW22" s="134"/>
    </row>
    <row r="23" spans="1:49" s="1" customFormat="1">
      <c r="A23" s="42"/>
      <c r="B23" s="24">
        <v>17</v>
      </c>
      <c r="C23" s="25">
        <v>6.7155023009135602E-5</v>
      </c>
      <c r="D23" s="25">
        <v>1.5052543278426501E-4</v>
      </c>
      <c r="F23" s="27"/>
      <c r="G23" s="130"/>
      <c r="H23" s="27"/>
      <c r="I23" s="18" t="s">
        <v>89</v>
      </c>
      <c r="J23" s="135">
        <v>1.1000000000000001</v>
      </c>
      <c r="K23" s="135">
        <v>1.1000000000000001</v>
      </c>
      <c r="L23" s="35"/>
      <c r="M23" s="18" t="s">
        <v>89</v>
      </c>
      <c r="N23" s="135">
        <v>1.2</v>
      </c>
      <c r="O23" s="135">
        <v>1.2</v>
      </c>
      <c r="P23" s="35"/>
      <c r="Q23" s="18" t="s">
        <v>89</v>
      </c>
      <c r="R23" s="135">
        <v>1.3</v>
      </c>
      <c r="S23" s="135">
        <v>1.3</v>
      </c>
      <c r="T23" s="27"/>
      <c r="U23" s="130"/>
      <c r="V23" s="27"/>
      <c r="AE23" s="130"/>
      <c r="AF23" s="139"/>
      <c r="AG23" s="114" t="s">
        <v>89</v>
      </c>
      <c r="AH23" s="165">
        <v>1.4</v>
      </c>
      <c r="AI23" s="165">
        <v>1.4</v>
      </c>
      <c r="AJ23" s="156"/>
      <c r="AK23" s="114" t="s">
        <v>89</v>
      </c>
      <c r="AL23" s="165">
        <v>1.5</v>
      </c>
      <c r="AM23" s="165">
        <v>1.5</v>
      </c>
      <c r="AN23" s="156"/>
      <c r="AO23" s="114" t="s">
        <v>89</v>
      </c>
      <c r="AP23" s="165">
        <v>1.6</v>
      </c>
      <c r="AQ23" s="165">
        <v>1.6</v>
      </c>
      <c r="AT23" s="130"/>
      <c r="AV23" s="134"/>
      <c r="AW23" s="134"/>
    </row>
    <row r="24" spans="1:49" s="1" customFormat="1" ht="15" thickBot="1">
      <c r="A24" s="42"/>
      <c r="B24" s="24">
        <v>18</v>
      </c>
      <c r="C24" s="25">
        <v>6.7089919921436994E-5</v>
      </c>
      <c r="D24" s="25">
        <v>1.50318414639083E-4</v>
      </c>
      <c r="F24" s="27"/>
      <c r="G24" s="130"/>
      <c r="H24" s="27"/>
      <c r="I24" s="18" t="s">
        <v>90</v>
      </c>
      <c r="J24" s="135">
        <v>1.1000000000000001</v>
      </c>
      <c r="K24" s="135">
        <v>1.1000000000000001</v>
      </c>
      <c r="L24" s="35"/>
      <c r="M24" s="18" t="s">
        <v>90</v>
      </c>
      <c r="N24" s="135">
        <v>1.2</v>
      </c>
      <c r="O24" s="135">
        <v>1.2</v>
      </c>
      <c r="P24" s="35"/>
      <c r="Q24" s="18" t="s">
        <v>90</v>
      </c>
      <c r="R24" s="135">
        <v>1.3</v>
      </c>
      <c r="S24" s="135">
        <v>1.3</v>
      </c>
      <c r="T24" s="27"/>
      <c r="U24" s="130"/>
      <c r="V24" s="27"/>
      <c r="W24" s="35"/>
      <c r="X24" s="51"/>
      <c r="Y24" s="51"/>
      <c r="Z24" s="51"/>
      <c r="AE24" s="130"/>
      <c r="AF24" s="139"/>
      <c r="AG24" s="114" t="s">
        <v>90</v>
      </c>
      <c r="AH24" s="165">
        <v>1.4</v>
      </c>
      <c r="AI24" s="165">
        <v>1.4</v>
      </c>
      <c r="AJ24" s="156"/>
      <c r="AK24" s="114" t="s">
        <v>90</v>
      </c>
      <c r="AL24" s="165">
        <v>1.5</v>
      </c>
      <c r="AM24" s="165">
        <v>1.5</v>
      </c>
      <c r="AN24" s="156"/>
      <c r="AO24" s="114" t="s">
        <v>90</v>
      </c>
      <c r="AP24" s="165">
        <v>1.6</v>
      </c>
      <c r="AQ24" s="165">
        <v>1.6</v>
      </c>
      <c r="AR24" s="134"/>
      <c r="AS24" s="134"/>
      <c r="AT24" s="130"/>
      <c r="AV24" s="134"/>
      <c r="AW24" s="134"/>
    </row>
    <row r="25" spans="1:49" s="1" customFormat="1">
      <c r="A25" s="42"/>
      <c r="B25" s="24">
        <v>19</v>
      </c>
      <c r="C25" s="25">
        <v>6.7024914456648195E-5</v>
      </c>
      <c r="D25" s="25">
        <v>1.5011188653812901E-4</v>
      </c>
      <c r="F25" s="27"/>
      <c r="G25" s="130"/>
      <c r="H25" s="27"/>
      <c r="I25" s="18" t="s">
        <v>91</v>
      </c>
      <c r="J25" s="135">
        <v>1.1000000000000001</v>
      </c>
      <c r="K25" s="135">
        <v>1.1000000000000001</v>
      </c>
      <c r="L25" s="35"/>
      <c r="M25" s="18" t="s">
        <v>91</v>
      </c>
      <c r="N25" s="135">
        <v>1.2</v>
      </c>
      <c r="O25" s="135">
        <v>1.2</v>
      </c>
      <c r="P25" s="35"/>
      <c r="Q25" s="18" t="s">
        <v>91</v>
      </c>
      <c r="R25" s="135">
        <v>1.3</v>
      </c>
      <c r="S25" s="135">
        <v>1.3</v>
      </c>
      <c r="T25" s="27"/>
      <c r="U25" s="130"/>
      <c r="V25" s="27"/>
      <c r="W25" s="52" t="s">
        <v>81</v>
      </c>
      <c r="X25" s="53"/>
      <c r="Y25" s="53"/>
      <c r="Z25" s="53"/>
      <c r="AA25" s="53"/>
      <c r="AB25" s="54"/>
      <c r="AE25" s="130"/>
      <c r="AF25" s="139"/>
      <c r="AG25" s="114" t="s">
        <v>91</v>
      </c>
      <c r="AH25" s="165">
        <v>1.4</v>
      </c>
      <c r="AI25" s="165">
        <v>1.4</v>
      </c>
      <c r="AJ25" s="156"/>
      <c r="AK25" s="114" t="s">
        <v>91</v>
      </c>
      <c r="AL25" s="165">
        <v>1.5</v>
      </c>
      <c r="AM25" s="165">
        <v>1.5</v>
      </c>
      <c r="AN25" s="156"/>
      <c r="AO25" s="114" t="s">
        <v>91</v>
      </c>
      <c r="AP25" s="165">
        <v>1.6</v>
      </c>
      <c r="AQ25" s="165">
        <v>1.6</v>
      </c>
      <c r="AR25" s="27"/>
      <c r="AS25" s="27"/>
      <c r="AT25" s="130"/>
      <c r="AV25" s="134"/>
      <c r="AW25" s="134"/>
    </row>
    <row r="26" spans="1:49" s="1" customFormat="1">
      <c r="A26" s="42"/>
      <c r="B26" s="24">
        <v>20</v>
      </c>
      <c r="C26" s="25">
        <v>1.0069125034972699E-4</v>
      </c>
      <c r="D26" s="25">
        <v>2.0776216447659899E-4</v>
      </c>
      <c r="F26" s="27"/>
      <c r="G26" s="130"/>
      <c r="H26" s="27"/>
      <c r="I26" s="18" t="s">
        <v>92</v>
      </c>
      <c r="J26" s="135">
        <v>1.1000000000000001</v>
      </c>
      <c r="K26" s="135">
        <v>1.1000000000000001</v>
      </c>
      <c r="L26" s="35"/>
      <c r="M26" s="18" t="s">
        <v>92</v>
      </c>
      <c r="N26" s="135">
        <v>1.2</v>
      </c>
      <c r="O26" s="135">
        <v>1.2</v>
      </c>
      <c r="P26" s="35"/>
      <c r="Q26" s="18" t="s">
        <v>92</v>
      </c>
      <c r="R26" s="135">
        <v>1.3</v>
      </c>
      <c r="S26" s="135">
        <v>1.3</v>
      </c>
      <c r="T26" s="27"/>
      <c r="U26" s="130"/>
      <c r="V26" s="27"/>
      <c r="W26" s="55"/>
      <c r="X26" s="36"/>
      <c r="Y26" s="36"/>
      <c r="Z26" s="36" t="s">
        <v>300</v>
      </c>
      <c r="AA26" s="36" t="s">
        <v>299</v>
      </c>
      <c r="AB26" s="45"/>
      <c r="AE26" s="130"/>
      <c r="AF26" s="139"/>
      <c r="AG26" s="114" t="s">
        <v>92</v>
      </c>
      <c r="AH26" s="165">
        <v>1.4</v>
      </c>
      <c r="AI26" s="165">
        <v>1.4</v>
      </c>
      <c r="AJ26" s="156"/>
      <c r="AK26" s="114" t="s">
        <v>92</v>
      </c>
      <c r="AL26" s="165">
        <v>1.5</v>
      </c>
      <c r="AM26" s="165">
        <v>1.5</v>
      </c>
      <c r="AN26" s="156"/>
      <c r="AO26" s="114" t="s">
        <v>92</v>
      </c>
      <c r="AP26" s="165">
        <v>1.6</v>
      </c>
      <c r="AQ26" s="165">
        <v>1.6</v>
      </c>
      <c r="AR26" s="27"/>
      <c r="AS26" s="27"/>
      <c r="AT26" s="130"/>
      <c r="AV26" s="134"/>
      <c r="AW26" s="134"/>
    </row>
    <row r="27" spans="1:49" s="1" customFormat="1">
      <c r="A27" s="42"/>
      <c r="B27" s="24">
        <v>21</v>
      </c>
      <c r="C27" s="25">
        <v>1.0054473606024799E-4</v>
      </c>
      <c r="D27" s="25">
        <v>2.0736748884708799E-4</v>
      </c>
      <c r="F27" s="27"/>
      <c r="G27" s="130"/>
      <c r="H27" s="27"/>
      <c r="I27" s="18" t="s">
        <v>93</v>
      </c>
      <c r="J27" s="135">
        <v>1.1000000000000001</v>
      </c>
      <c r="K27" s="135">
        <v>1.1000000000000001</v>
      </c>
      <c r="L27" s="35"/>
      <c r="M27" s="18" t="s">
        <v>93</v>
      </c>
      <c r="N27" s="135">
        <v>1.2</v>
      </c>
      <c r="O27" s="135">
        <v>1.2</v>
      </c>
      <c r="P27" s="35"/>
      <c r="Q27" s="18" t="s">
        <v>93</v>
      </c>
      <c r="R27" s="135">
        <v>1.3</v>
      </c>
      <c r="S27" s="135">
        <v>1.3</v>
      </c>
      <c r="T27" s="43"/>
      <c r="U27" s="130"/>
      <c r="V27" s="43"/>
      <c r="W27" s="55" t="s">
        <v>78</v>
      </c>
      <c r="X27" s="4" t="s">
        <v>12</v>
      </c>
      <c r="Y27" s="36" t="s">
        <v>96</v>
      </c>
      <c r="Z27" s="62">
        <f>VLOOKUP(X29, IF(X28="Light", AG15:AI29, IF(X28="Moderate", AK15:AM29, IF(X28="Heavy", AO15:AQ29, "Error"))), IF(X27="Male", 3, 2))</f>
        <v>1.6</v>
      </c>
      <c r="AA27" s="150">
        <v>0</v>
      </c>
      <c r="AB27" s="45"/>
      <c r="AC27" s="40"/>
      <c r="AD27" s="43"/>
      <c r="AE27" s="130"/>
      <c r="AF27" s="139"/>
      <c r="AG27" s="114" t="s">
        <v>93</v>
      </c>
      <c r="AH27" s="165">
        <v>1.4</v>
      </c>
      <c r="AI27" s="165">
        <v>1.4</v>
      </c>
      <c r="AJ27" s="156"/>
      <c r="AK27" s="114" t="s">
        <v>93</v>
      </c>
      <c r="AL27" s="165">
        <v>1.5</v>
      </c>
      <c r="AM27" s="165">
        <v>1.5</v>
      </c>
      <c r="AN27" s="156"/>
      <c r="AO27" s="114" t="s">
        <v>93</v>
      </c>
      <c r="AP27" s="165">
        <v>1.6</v>
      </c>
      <c r="AQ27" s="165">
        <v>1.6</v>
      </c>
      <c r="AR27" s="27"/>
      <c r="AS27" s="43"/>
      <c r="AT27" s="130"/>
      <c r="AU27" s="134"/>
      <c r="AV27" s="134"/>
      <c r="AW27" s="134"/>
    </row>
    <row r="28" spans="1:49" s="1" customFormat="1">
      <c r="A28" s="42"/>
      <c r="B28" s="24">
        <v>22</v>
      </c>
      <c r="C28" s="25">
        <v>1.0039855315091601E-4</v>
      </c>
      <c r="D28" s="25">
        <v>2.0697411744652301E-4</v>
      </c>
      <c r="F28" s="27"/>
      <c r="G28" s="130"/>
      <c r="H28" s="43"/>
      <c r="I28" s="140" t="s">
        <v>94</v>
      </c>
      <c r="J28" s="141">
        <v>1.1000000000000001</v>
      </c>
      <c r="K28" s="141">
        <v>1.1000000000000001</v>
      </c>
      <c r="L28" s="142"/>
      <c r="M28" s="140" t="s">
        <v>94</v>
      </c>
      <c r="N28" s="141">
        <v>1.2</v>
      </c>
      <c r="O28" s="141">
        <v>1.2</v>
      </c>
      <c r="P28" s="142"/>
      <c r="Q28" s="140" t="s">
        <v>94</v>
      </c>
      <c r="R28" s="141">
        <v>1.3</v>
      </c>
      <c r="S28" s="141">
        <v>1.3</v>
      </c>
      <c r="T28" s="43"/>
      <c r="U28" s="130"/>
      <c r="V28" s="43"/>
      <c r="W28" s="55" t="s">
        <v>77</v>
      </c>
      <c r="X28" s="4" t="s">
        <v>17</v>
      </c>
      <c r="Y28" s="42"/>
      <c r="Z28" s="62">
        <f>Z27</f>
        <v>1.6</v>
      </c>
      <c r="AA28" s="150">
        <f>W6</f>
        <v>12</v>
      </c>
      <c r="AB28" s="45"/>
      <c r="AC28" s="40"/>
      <c r="AD28" s="43"/>
      <c r="AE28" s="130"/>
      <c r="AF28" s="139"/>
      <c r="AG28" s="161" t="s">
        <v>94</v>
      </c>
      <c r="AH28" s="165">
        <v>1.4</v>
      </c>
      <c r="AI28" s="165">
        <v>1.4</v>
      </c>
      <c r="AJ28" s="156"/>
      <c r="AK28" s="161" t="s">
        <v>94</v>
      </c>
      <c r="AL28" s="165">
        <v>1.5</v>
      </c>
      <c r="AM28" s="165">
        <v>1.5</v>
      </c>
      <c r="AN28" s="156"/>
      <c r="AO28" s="161" t="s">
        <v>94</v>
      </c>
      <c r="AP28" s="165">
        <v>1.6</v>
      </c>
      <c r="AQ28" s="165">
        <v>1.6</v>
      </c>
      <c r="AR28" s="27"/>
      <c r="AS28" s="43"/>
      <c r="AT28" s="130"/>
      <c r="AU28" s="27"/>
      <c r="AV28" s="27"/>
      <c r="AW28" s="27"/>
    </row>
    <row r="29" spans="1:49" s="1" customFormat="1">
      <c r="A29" s="42"/>
      <c r="B29" s="24">
        <v>23</v>
      </c>
      <c r="C29" s="25">
        <v>1.00252701290549E-4</v>
      </c>
      <c r="D29" s="25">
        <v>2.0658204966761401E-4</v>
      </c>
      <c r="F29" s="27"/>
      <c r="G29" s="130"/>
      <c r="H29" s="43"/>
      <c r="I29" s="137" t="s">
        <v>95</v>
      </c>
      <c r="J29" s="141">
        <v>1.1000000000000001</v>
      </c>
      <c r="K29" s="141">
        <v>1.1000000000000001</v>
      </c>
      <c r="L29" s="142"/>
      <c r="M29" s="137" t="s">
        <v>95</v>
      </c>
      <c r="N29" s="141">
        <v>1.2</v>
      </c>
      <c r="O29" s="141">
        <v>1.2</v>
      </c>
      <c r="P29" s="142"/>
      <c r="Q29" s="137" t="s">
        <v>95</v>
      </c>
      <c r="R29" s="141">
        <v>1.3</v>
      </c>
      <c r="S29" s="141">
        <v>1.3</v>
      </c>
      <c r="T29" s="43"/>
      <c r="U29" s="130"/>
      <c r="V29" s="43"/>
      <c r="W29" s="55" t="s">
        <v>22</v>
      </c>
      <c r="X29" s="4" t="s">
        <v>98</v>
      </c>
      <c r="Y29" s="36" t="s">
        <v>301</v>
      </c>
      <c r="Z29" s="62">
        <f>VLOOKUP(X29, IF(X28="Light", I15:K29, IF(X28="Moderate", M15:O29, IF(X28="Heavy", Q15:S29, "Error"))), IF(X27="Male", 3,2))</f>
        <v>1.3</v>
      </c>
      <c r="AA29" s="150">
        <f>X6</f>
        <v>60</v>
      </c>
      <c r="AB29" s="45"/>
      <c r="AC29" s="40"/>
      <c r="AD29" s="43"/>
      <c r="AE29" s="130"/>
      <c r="AF29" s="139"/>
      <c r="AG29" s="162" t="s">
        <v>95</v>
      </c>
      <c r="AH29" s="165">
        <v>1.4</v>
      </c>
      <c r="AI29" s="165">
        <v>1.4</v>
      </c>
      <c r="AJ29" s="156"/>
      <c r="AK29" s="162" t="s">
        <v>95</v>
      </c>
      <c r="AL29" s="165">
        <v>1.5</v>
      </c>
      <c r="AM29" s="165">
        <v>1.5</v>
      </c>
      <c r="AN29" s="156"/>
      <c r="AO29" s="162" t="s">
        <v>95</v>
      </c>
      <c r="AP29" s="165">
        <v>1.6</v>
      </c>
      <c r="AQ29" s="165">
        <v>1.6</v>
      </c>
      <c r="AR29" s="27"/>
      <c r="AS29" s="43"/>
      <c r="AT29" s="130"/>
      <c r="AU29" s="27"/>
      <c r="AV29" s="27"/>
      <c r="AW29" s="27"/>
    </row>
    <row r="30" spans="1:49" s="42" customFormat="1" ht="15" thickBot="1">
      <c r="B30" s="24">
        <v>24</v>
      </c>
      <c r="C30" s="25">
        <v>1.00107180145304E-4</v>
      </c>
      <c r="D30" s="25">
        <v>2.0619128486842899E-4</v>
      </c>
      <c r="F30" s="43"/>
      <c r="G30" s="130"/>
      <c r="H30" s="43"/>
      <c r="T30" s="43"/>
      <c r="U30" s="130"/>
      <c r="V30" s="43"/>
      <c r="W30" s="56"/>
      <c r="X30" s="46"/>
      <c r="Y30" s="46"/>
      <c r="Z30" s="47"/>
      <c r="AA30" s="47"/>
      <c r="AB30" s="48"/>
      <c r="AC30" s="40"/>
      <c r="AD30" s="43"/>
      <c r="AE30" s="130"/>
      <c r="AR30" s="27"/>
      <c r="AS30" s="43"/>
      <c r="AT30" s="130"/>
      <c r="AU30" s="43"/>
      <c r="AV30" s="43"/>
      <c r="AW30" s="43"/>
    </row>
    <row r="31" spans="1:49" s="42" customFormat="1">
      <c r="B31" s="24">
        <v>25</v>
      </c>
      <c r="C31" s="25">
        <v>1.1260377907607001E-4</v>
      </c>
      <c r="D31" s="25">
        <v>2.5240265609949303E-4</v>
      </c>
      <c r="F31" s="43"/>
      <c r="G31" s="130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30"/>
      <c r="V31" s="27"/>
      <c r="W31" s="1"/>
      <c r="X31" s="1"/>
      <c r="Y31" s="1"/>
      <c r="Z31" s="1"/>
      <c r="AA31" s="1"/>
      <c r="AB31" s="1"/>
      <c r="AC31" s="36"/>
      <c r="AD31" s="27"/>
      <c r="AE31" s="130"/>
      <c r="AR31" s="27"/>
      <c r="AS31" s="1"/>
      <c r="AT31" s="130"/>
      <c r="AU31" s="43"/>
      <c r="AV31" s="43"/>
      <c r="AW31" s="43"/>
    </row>
    <row r="32" spans="1:49" s="42" customFormat="1">
      <c r="B32" s="24">
        <v>26</v>
      </c>
      <c r="C32" s="25">
        <v>1.12419980829337E-4</v>
      </c>
      <c r="D32" s="25">
        <v>2.5181900008808299E-4</v>
      </c>
      <c r="F32" s="43"/>
      <c r="G32" s="130"/>
      <c r="H32" s="147"/>
      <c r="I32" s="148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7"/>
      <c r="U32" s="131"/>
      <c r="V32" s="147"/>
      <c r="W32" s="147"/>
      <c r="X32" s="147"/>
      <c r="Y32" s="147"/>
      <c r="Z32" s="147"/>
      <c r="AA32" s="147"/>
      <c r="AB32" s="147"/>
      <c r="AC32" s="147"/>
      <c r="AD32" s="147"/>
      <c r="AE32" s="130"/>
      <c r="AF32" s="149"/>
      <c r="AG32" s="149"/>
      <c r="AH32" s="149"/>
      <c r="AI32" s="149"/>
      <c r="AJ32" s="149"/>
      <c r="AK32" s="149"/>
      <c r="AL32" s="149"/>
      <c r="AM32" s="149"/>
      <c r="AN32" s="149"/>
      <c r="AO32" s="149"/>
      <c r="AP32" s="149"/>
      <c r="AQ32" s="149"/>
      <c r="AR32" s="147"/>
      <c r="AS32" s="149"/>
      <c r="AT32" s="130"/>
      <c r="AU32" s="43"/>
      <c r="AV32" s="43"/>
      <c r="AW32" s="43"/>
    </row>
    <row r="33" spans="1:49" s="42" customFormat="1">
      <c r="B33" s="24">
        <v>27</v>
      </c>
      <c r="C33" s="25">
        <v>1.12236653892372E-4</v>
      </c>
      <c r="D33" s="25">
        <v>2.5123774484592199E-4</v>
      </c>
      <c r="F33" s="43"/>
      <c r="G33" s="130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132"/>
      <c r="V33" s="37"/>
      <c r="W33" s="38"/>
      <c r="X33" s="49"/>
      <c r="Y33" s="49"/>
      <c r="Z33" s="49"/>
      <c r="AA33" s="1"/>
      <c r="AB33" s="1"/>
      <c r="AC33" s="1"/>
      <c r="AD33" s="1"/>
      <c r="AE33" s="130"/>
      <c r="AR33" s="27"/>
      <c r="AS33" s="1"/>
      <c r="AT33" s="130"/>
      <c r="AU33" s="43"/>
      <c r="AV33" s="43"/>
      <c r="AW33" s="43"/>
    </row>
    <row r="34" spans="1:49" s="1" customFormat="1">
      <c r="A34" s="42"/>
      <c r="B34" s="24">
        <v>28</v>
      </c>
      <c r="C34" s="25">
        <v>1.12053797711953E-4</v>
      </c>
      <c r="D34" s="25">
        <v>2.5065888857656E-4</v>
      </c>
      <c r="F34" s="27"/>
      <c r="G34" s="130"/>
      <c r="H34" s="37" t="s">
        <v>296</v>
      </c>
      <c r="T34" s="28"/>
      <c r="U34" s="130"/>
      <c r="V34" s="27"/>
      <c r="W34" s="2"/>
      <c r="AA34" s="36"/>
      <c r="AB34" s="36"/>
      <c r="AC34" s="36"/>
      <c r="AD34" s="2"/>
      <c r="AE34" s="130"/>
      <c r="AF34" s="133" t="s">
        <v>297</v>
      </c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T34" s="130"/>
      <c r="AW34" s="27"/>
    </row>
    <row r="35" spans="1:49" s="1" customFormat="1" ht="15">
      <c r="A35" s="42"/>
      <c r="B35" s="24">
        <v>29</v>
      </c>
      <c r="C35" s="25">
        <v>1.11871411730746E-4</v>
      </c>
      <c r="D35" s="25">
        <v>2.5008242939084102E-4</v>
      </c>
      <c r="F35" s="27"/>
      <c r="G35" s="130"/>
      <c r="H35" s="28"/>
      <c r="T35" s="28"/>
      <c r="U35" s="131"/>
      <c r="V35" s="36"/>
      <c r="AE35" s="130"/>
      <c r="AF35" s="35"/>
      <c r="AG35" s="134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27"/>
      <c r="AT35" s="130"/>
      <c r="AW35" s="27"/>
    </row>
    <row r="36" spans="1:49" s="1" customFormat="1">
      <c r="A36" s="42"/>
      <c r="B36" s="24">
        <v>30</v>
      </c>
      <c r="C36" s="25">
        <v>1.4020396257019601E-4</v>
      </c>
      <c r="D36" s="25">
        <v>3.3548087635082397E-4</v>
      </c>
      <c r="F36" s="27"/>
      <c r="G36" s="130"/>
      <c r="H36" s="28"/>
      <c r="I36" s="35"/>
      <c r="J36" s="35"/>
      <c r="K36" s="110"/>
      <c r="L36" s="133" t="s">
        <v>109</v>
      </c>
      <c r="M36" s="110"/>
      <c r="N36" s="110"/>
      <c r="O36" s="110"/>
      <c r="P36" s="110"/>
      <c r="Q36" s="110"/>
      <c r="R36" s="110"/>
      <c r="S36" s="110"/>
      <c r="T36" s="28"/>
      <c r="U36" s="130"/>
      <c r="V36" s="27"/>
      <c r="AE36" s="130"/>
      <c r="AF36" s="142"/>
      <c r="AG36" s="134"/>
      <c r="AH36" s="110" t="s">
        <v>15</v>
      </c>
      <c r="AI36" s="134"/>
      <c r="AJ36" s="134"/>
      <c r="AL36" s="110" t="s">
        <v>16</v>
      </c>
      <c r="AM36" s="134"/>
      <c r="AN36" s="134"/>
      <c r="AP36" s="110" t="s">
        <v>17</v>
      </c>
      <c r="AR36" s="27"/>
      <c r="AT36" s="130"/>
      <c r="AW36" s="27"/>
    </row>
    <row r="37" spans="1:49" s="1" customFormat="1">
      <c r="A37" s="42"/>
      <c r="B37" s="24">
        <v>31</v>
      </c>
      <c r="C37" s="25">
        <v>1.3991811133673399E-4</v>
      </c>
      <c r="D37" s="25">
        <v>3.3444804846605202E-4</v>
      </c>
      <c r="F37" s="27"/>
      <c r="G37" s="130"/>
      <c r="H37" s="28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28"/>
      <c r="U37" s="130"/>
      <c r="V37" s="27"/>
      <c r="AE37" s="130"/>
      <c r="AF37" s="142"/>
      <c r="AG37" s="51" t="s">
        <v>22</v>
      </c>
      <c r="AH37" s="18" t="s">
        <v>13</v>
      </c>
      <c r="AI37" s="18" t="s">
        <v>12</v>
      </c>
      <c r="AJ37" s="51"/>
      <c r="AK37" s="51" t="s">
        <v>22</v>
      </c>
      <c r="AL37" s="18" t="s">
        <v>13</v>
      </c>
      <c r="AM37" s="18" t="s">
        <v>12</v>
      </c>
      <c r="AN37" s="51"/>
      <c r="AO37" s="51" t="s">
        <v>22</v>
      </c>
      <c r="AP37" s="18" t="s">
        <v>13</v>
      </c>
      <c r="AQ37" s="18" t="s">
        <v>12</v>
      </c>
      <c r="AR37" s="27"/>
      <c r="AT37" s="130"/>
      <c r="AW37" s="27"/>
    </row>
    <row r="38" spans="1:49" s="1" customFormat="1">
      <c r="A38" s="42"/>
      <c r="B38" s="24">
        <v>32</v>
      </c>
      <c r="C38" s="25">
        <v>1.39633186980181E-4</v>
      </c>
      <c r="D38" s="25">
        <v>3.3342103634481602E-4</v>
      </c>
      <c r="F38" s="27"/>
      <c r="G38" s="130"/>
      <c r="H38" s="28"/>
      <c r="J38" s="110" t="s">
        <v>15</v>
      </c>
      <c r="K38" s="134"/>
      <c r="L38" s="134"/>
      <c r="N38" s="110" t="s">
        <v>16</v>
      </c>
      <c r="O38" s="134"/>
      <c r="P38" s="134"/>
      <c r="R38" s="110" t="s">
        <v>17</v>
      </c>
      <c r="S38" s="35"/>
      <c r="T38" s="28"/>
      <c r="U38" s="130"/>
      <c r="V38" s="27"/>
      <c r="AE38" s="130"/>
      <c r="AF38" s="142"/>
      <c r="AG38" s="163">
        <v>0</v>
      </c>
      <c r="AH38" s="164">
        <v>8.4340899323676099E-4</v>
      </c>
      <c r="AI38" s="164">
        <v>3.4706924257080799E-3</v>
      </c>
      <c r="AJ38" s="35"/>
      <c r="AK38" s="163">
        <v>0</v>
      </c>
      <c r="AL38" s="164">
        <v>8.4340899323676099E-4</v>
      </c>
      <c r="AM38" s="164">
        <v>3.4706924257080799E-3</v>
      </c>
      <c r="AN38" s="35"/>
      <c r="AO38" s="163">
        <v>0</v>
      </c>
      <c r="AP38" s="164">
        <v>8.4340899323676099E-4</v>
      </c>
      <c r="AQ38" s="164">
        <v>3.4706924257080799E-3</v>
      </c>
      <c r="AR38" s="27"/>
      <c r="AT38" s="130"/>
      <c r="AW38" s="27"/>
    </row>
    <row r="39" spans="1:49" s="1" customFormat="1">
      <c r="A39" s="42"/>
      <c r="B39" s="24">
        <v>33</v>
      </c>
      <c r="C39" s="25">
        <v>1.3934918807101399E-4</v>
      </c>
      <c r="D39" s="25">
        <v>3.3239983242461197E-4</v>
      </c>
      <c r="F39" s="27"/>
      <c r="G39" s="130"/>
      <c r="H39" s="28"/>
      <c r="I39" s="139" t="s">
        <v>110</v>
      </c>
      <c r="J39" s="18" t="s">
        <v>13</v>
      </c>
      <c r="K39" s="18" t="s">
        <v>12</v>
      </c>
      <c r="L39" s="35"/>
      <c r="M39" s="139" t="s">
        <v>110</v>
      </c>
      <c r="N39" s="18" t="s">
        <v>13</v>
      </c>
      <c r="O39" s="18" t="s">
        <v>12</v>
      </c>
      <c r="P39" s="35"/>
      <c r="Q39" s="139" t="s">
        <v>110</v>
      </c>
      <c r="R39" s="18" t="s">
        <v>13</v>
      </c>
      <c r="S39" s="18" t="s">
        <v>12</v>
      </c>
      <c r="T39" s="28"/>
      <c r="U39" s="130"/>
      <c r="V39" s="27"/>
      <c r="AE39" s="130"/>
      <c r="AF39" s="142"/>
      <c r="AG39" s="163">
        <v>1</v>
      </c>
      <c r="AH39" s="164">
        <v>4.61406313329027E-5</v>
      </c>
      <c r="AI39" s="164">
        <v>1.8819972373962401E-4</v>
      </c>
      <c r="AJ39" s="35"/>
      <c r="AK39" s="163">
        <v>1</v>
      </c>
      <c r="AL39" s="164">
        <v>4.61406313329027E-5</v>
      </c>
      <c r="AM39" s="164">
        <v>1.8819972373962401E-4</v>
      </c>
      <c r="AN39" s="35"/>
      <c r="AO39" s="163">
        <v>1</v>
      </c>
      <c r="AP39" s="164">
        <v>4.61406313329027E-5</v>
      </c>
      <c r="AQ39" s="164">
        <v>1.8819972373962401E-4</v>
      </c>
      <c r="AR39" s="27"/>
      <c r="AT39" s="130"/>
      <c r="AW39" s="27"/>
    </row>
    <row r="40" spans="1:49" s="1" customFormat="1">
      <c r="A40" s="42"/>
      <c r="B40" s="24">
        <v>34</v>
      </c>
      <c r="C40" s="25">
        <v>1.3906611316771801E-4</v>
      </c>
      <c r="D40" s="25">
        <v>3.31384428758574E-4</v>
      </c>
      <c r="F40" s="27"/>
      <c r="G40" s="130"/>
      <c r="H40" s="28"/>
      <c r="I40" s="18" t="s">
        <v>98</v>
      </c>
      <c r="J40" s="135">
        <v>0.6</v>
      </c>
      <c r="K40" s="135">
        <v>0.6</v>
      </c>
      <c r="L40" s="35"/>
      <c r="M40" s="18" t="s">
        <v>98</v>
      </c>
      <c r="N40" s="135">
        <v>0.6</v>
      </c>
      <c r="O40" s="135">
        <v>0.6</v>
      </c>
      <c r="P40" s="35"/>
      <c r="Q40" s="18" t="s">
        <v>98</v>
      </c>
      <c r="R40" s="135">
        <v>0.6</v>
      </c>
      <c r="S40" s="135">
        <v>0.6</v>
      </c>
      <c r="T40" s="28"/>
      <c r="U40" s="130"/>
      <c r="V40" s="27"/>
      <c r="AE40" s="130"/>
      <c r="AF40" s="35"/>
      <c r="AG40" s="163">
        <v>2</v>
      </c>
      <c r="AH40" s="164">
        <v>4.61099999277126E-5</v>
      </c>
      <c r="AI40" s="164">
        <v>1.87877874147313E-4</v>
      </c>
      <c r="AJ40" s="35"/>
      <c r="AK40" s="163">
        <v>2</v>
      </c>
      <c r="AL40" s="164">
        <v>4.61099999277126E-5</v>
      </c>
      <c r="AM40" s="164">
        <v>1.87877874147313E-4</v>
      </c>
      <c r="AN40" s="35"/>
      <c r="AO40" s="163">
        <v>2</v>
      </c>
      <c r="AP40" s="164">
        <v>4.61099999277126E-5</v>
      </c>
      <c r="AQ40" s="164">
        <v>1.87877874147313E-4</v>
      </c>
      <c r="AR40" s="27"/>
      <c r="AT40" s="130"/>
      <c r="AW40" s="27"/>
    </row>
    <row r="41" spans="1:49" s="1" customFormat="1">
      <c r="A41" s="42"/>
      <c r="B41" s="24">
        <v>35</v>
      </c>
      <c r="C41" s="25">
        <v>1.8800726648715601E-4</v>
      </c>
      <c r="D41" s="25">
        <v>4.5701812235865398E-4</v>
      </c>
      <c r="F41" s="27"/>
      <c r="G41" s="130"/>
      <c r="H41" s="28"/>
      <c r="I41" s="18" t="s">
        <v>82</v>
      </c>
      <c r="J41" s="135">
        <v>0.6</v>
      </c>
      <c r="K41" s="135">
        <v>0.6</v>
      </c>
      <c r="L41" s="35"/>
      <c r="M41" s="18" t="s">
        <v>82</v>
      </c>
      <c r="N41" s="135">
        <v>0.6</v>
      </c>
      <c r="O41" s="135">
        <v>0.6</v>
      </c>
      <c r="P41" s="35"/>
      <c r="Q41" s="18" t="s">
        <v>82</v>
      </c>
      <c r="R41" s="135">
        <v>0.6</v>
      </c>
      <c r="S41" s="135">
        <v>0.6</v>
      </c>
      <c r="T41" s="28"/>
      <c r="U41" s="130"/>
      <c r="V41" s="27"/>
      <c r="AE41" s="130"/>
      <c r="AF41" s="18"/>
      <c r="AG41" s="163">
        <v>3</v>
      </c>
      <c r="AH41" s="164">
        <v>4.6079399625198503E-5</v>
      </c>
      <c r="AI41" s="164">
        <v>1.8755693769445501E-4</v>
      </c>
      <c r="AJ41" s="35"/>
      <c r="AK41" s="163">
        <v>3</v>
      </c>
      <c r="AL41" s="164">
        <v>4.6079399625198503E-5</v>
      </c>
      <c r="AM41" s="164">
        <v>1.8755693769445501E-4</v>
      </c>
      <c r="AN41" s="35"/>
      <c r="AO41" s="163">
        <v>3</v>
      </c>
      <c r="AP41" s="164">
        <v>4.6079399625198503E-5</v>
      </c>
      <c r="AQ41" s="164">
        <v>1.8755693769445501E-4</v>
      </c>
      <c r="AR41" s="27"/>
      <c r="AT41" s="130"/>
      <c r="AW41" s="27"/>
    </row>
    <row r="42" spans="1:49" s="1" customFormat="1">
      <c r="A42" s="42"/>
      <c r="B42" s="24">
        <v>36</v>
      </c>
      <c r="C42" s="25">
        <v>1.8749139396967399E-4</v>
      </c>
      <c r="D42" s="25">
        <v>4.5509919162956003E-4</v>
      </c>
      <c r="F42" s="27"/>
      <c r="G42" s="130"/>
      <c r="H42" s="28"/>
      <c r="I42" s="18" t="s">
        <v>83</v>
      </c>
      <c r="J42" s="135">
        <v>0.7</v>
      </c>
      <c r="K42" s="135">
        <v>0.7</v>
      </c>
      <c r="L42" s="35"/>
      <c r="M42" s="18" t="s">
        <v>83</v>
      </c>
      <c r="N42" s="135">
        <v>0.7</v>
      </c>
      <c r="O42" s="135">
        <v>0.7</v>
      </c>
      <c r="P42" s="35"/>
      <c r="Q42" s="18" t="s">
        <v>83</v>
      </c>
      <c r="R42" s="135">
        <v>0.7</v>
      </c>
      <c r="S42" s="135">
        <v>0.7</v>
      </c>
      <c r="T42" s="28"/>
      <c r="U42" s="130"/>
      <c r="V42" s="27"/>
      <c r="AE42" s="130"/>
      <c r="AF42" s="38"/>
      <c r="AG42" s="163">
        <v>4</v>
      </c>
      <c r="AH42" s="164">
        <v>4.6048830412148703E-5</v>
      </c>
      <c r="AI42" s="164">
        <v>1.8723691425603901E-4</v>
      </c>
      <c r="AJ42" s="35"/>
      <c r="AK42" s="163">
        <v>4</v>
      </c>
      <c r="AL42" s="164">
        <v>4.6048830412148703E-5</v>
      </c>
      <c r="AM42" s="164">
        <v>1.8723691425603901E-4</v>
      </c>
      <c r="AN42" s="35"/>
      <c r="AO42" s="163">
        <v>4</v>
      </c>
      <c r="AP42" s="164">
        <v>4.6048830412148703E-5</v>
      </c>
      <c r="AQ42" s="164">
        <v>1.8723691425603901E-4</v>
      </c>
      <c r="AR42" s="27"/>
      <c r="AT42" s="130"/>
      <c r="AW42" s="27"/>
    </row>
    <row r="43" spans="1:49" s="1" customFormat="1">
      <c r="A43" s="42"/>
      <c r="B43" s="24">
        <v>37</v>
      </c>
      <c r="C43" s="25">
        <v>1.8697780811505199E-4</v>
      </c>
      <c r="D43" s="25">
        <v>4.5319555838707598E-4</v>
      </c>
      <c r="F43" s="27"/>
      <c r="G43" s="130"/>
      <c r="H43" s="28"/>
      <c r="I43" s="18" t="s">
        <v>84</v>
      </c>
      <c r="J43" s="135">
        <v>0.8</v>
      </c>
      <c r="K43" s="135">
        <v>0.8</v>
      </c>
      <c r="L43" s="35"/>
      <c r="M43" s="18" t="s">
        <v>84</v>
      </c>
      <c r="N43" s="135">
        <v>0.8</v>
      </c>
      <c r="O43" s="135">
        <v>0.8</v>
      </c>
      <c r="P43" s="35"/>
      <c r="Q43" s="18" t="s">
        <v>84</v>
      </c>
      <c r="R43" s="135">
        <v>0.8</v>
      </c>
      <c r="S43" s="135">
        <v>0.8</v>
      </c>
      <c r="T43" s="28"/>
      <c r="U43" s="130"/>
      <c r="V43" s="27"/>
      <c r="AE43" s="130"/>
      <c r="AF43" s="2"/>
      <c r="AG43" s="163">
        <v>5</v>
      </c>
      <c r="AH43" s="164">
        <v>1.5835324199797701E-5</v>
      </c>
      <c r="AI43" s="164">
        <v>7.6150029087118694E-5</v>
      </c>
      <c r="AJ43" s="35"/>
      <c r="AK43" s="163">
        <v>5</v>
      </c>
      <c r="AL43" s="164">
        <v>1.5835324199797701E-5</v>
      </c>
      <c r="AM43" s="164">
        <v>7.6150029087118694E-5</v>
      </c>
      <c r="AN43" s="35"/>
      <c r="AO43" s="163">
        <v>5</v>
      </c>
      <c r="AP43" s="164">
        <v>1.5835324199797701E-5</v>
      </c>
      <c r="AQ43" s="164">
        <v>7.6150029087118694E-5</v>
      </c>
      <c r="AR43" s="27"/>
      <c r="AT43" s="130"/>
      <c r="AW43" s="27"/>
    </row>
    <row r="44" spans="1:49" s="1" customFormat="1">
      <c r="A44" s="42"/>
      <c r="B44" s="24">
        <v>38</v>
      </c>
      <c r="C44" s="25">
        <v>1.8646650387632601E-4</v>
      </c>
      <c r="D44" s="25">
        <v>4.5130718702635102E-4</v>
      </c>
      <c r="F44" s="27"/>
      <c r="G44" s="130"/>
      <c r="H44" s="28"/>
      <c r="I44" s="18" t="s">
        <v>85</v>
      </c>
      <c r="J44" s="135">
        <v>0.9</v>
      </c>
      <c r="K44" s="135">
        <v>0.9</v>
      </c>
      <c r="L44" s="35"/>
      <c r="M44" s="18" t="s">
        <v>85</v>
      </c>
      <c r="N44" s="135">
        <v>0.9</v>
      </c>
      <c r="O44" s="135">
        <v>0.9</v>
      </c>
      <c r="P44" s="35"/>
      <c r="Q44" s="18" t="s">
        <v>85</v>
      </c>
      <c r="R44" s="135">
        <v>0.9</v>
      </c>
      <c r="S44" s="135">
        <v>0.9</v>
      </c>
      <c r="T44" s="28"/>
      <c r="U44" s="130"/>
      <c r="V44" s="27"/>
      <c r="AE44" s="130"/>
      <c r="AF44" s="2"/>
      <c r="AG44" s="163">
        <v>6</v>
      </c>
      <c r="AH44" s="164">
        <v>1.58317109791861E-5</v>
      </c>
      <c r="AI44" s="164">
        <v>7.6097180299106198E-5</v>
      </c>
      <c r="AJ44" s="35"/>
      <c r="AK44" s="163">
        <v>6</v>
      </c>
      <c r="AL44" s="164">
        <v>1.58317109791861E-5</v>
      </c>
      <c r="AM44" s="164">
        <v>7.6097180299106198E-5</v>
      </c>
      <c r="AN44" s="35"/>
      <c r="AO44" s="163">
        <v>6</v>
      </c>
      <c r="AP44" s="164">
        <v>1.58317109791861E-5</v>
      </c>
      <c r="AQ44" s="164">
        <v>7.6097180299106198E-5</v>
      </c>
      <c r="AR44" s="27"/>
      <c r="AT44" s="130"/>
      <c r="AW44" s="27"/>
    </row>
    <row r="45" spans="1:49" s="1" customFormat="1">
      <c r="A45" s="42"/>
      <c r="B45" s="24">
        <v>39</v>
      </c>
      <c r="C45" s="25">
        <v>1.85957476155019E-4</v>
      </c>
      <c r="D45" s="25">
        <v>4.49434040151186E-4</v>
      </c>
      <c r="F45" s="27"/>
      <c r="G45" s="130"/>
      <c r="H45" s="28"/>
      <c r="I45" s="18" t="s">
        <v>86</v>
      </c>
      <c r="J45" s="135">
        <v>1</v>
      </c>
      <c r="K45" s="135">
        <v>1</v>
      </c>
      <c r="L45" s="35"/>
      <c r="M45" s="18" t="s">
        <v>86</v>
      </c>
      <c r="N45" s="135">
        <v>1</v>
      </c>
      <c r="O45" s="135">
        <v>1</v>
      </c>
      <c r="P45" s="35"/>
      <c r="Q45" s="18" t="s">
        <v>86</v>
      </c>
      <c r="R45" s="135">
        <v>1</v>
      </c>
      <c r="S45" s="135">
        <v>1</v>
      </c>
      <c r="T45" s="28"/>
      <c r="U45" s="130"/>
      <c r="V45" s="27"/>
      <c r="AE45" s="130"/>
      <c r="AF45" s="27"/>
      <c r="AG45" s="163">
        <v>7</v>
      </c>
      <c r="AH45" s="164">
        <v>1.5828099023562599E-5</v>
      </c>
      <c r="AI45" s="164">
        <v>7.6044393131691201E-5</v>
      </c>
      <c r="AJ45" s="35"/>
      <c r="AK45" s="163">
        <v>7</v>
      </c>
      <c r="AL45" s="164">
        <v>1.5828099023562599E-5</v>
      </c>
      <c r="AM45" s="164">
        <v>7.6044393131691201E-5</v>
      </c>
      <c r="AN45" s="35"/>
      <c r="AO45" s="163">
        <v>7</v>
      </c>
      <c r="AP45" s="164">
        <v>1.5828099023562599E-5</v>
      </c>
      <c r="AQ45" s="164">
        <v>7.6044393131691201E-5</v>
      </c>
      <c r="AR45" s="27"/>
      <c r="AT45" s="130"/>
      <c r="AW45" s="27"/>
    </row>
    <row r="46" spans="1:49" s="1" customFormat="1">
      <c r="A46" s="42"/>
      <c r="B46" s="24">
        <v>40</v>
      </c>
      <c r="C46" s="25">
        <v>2.5498466120910102E-4</v>
      </c>
      <c r="D46" s="25">
        <v>6.4338401109953502E-4</v>
      </c>
      <c r="F46" s="27"/>
      <c r="G46" s="130"/>
      <c r="H46" s="28"/>
      <c r="I46" s="18" t="s">
        <v>87</v>
      </c>
      <c r="J46" s="135">
        <v>1.1000000000000001</v>
      </c>
      <c r="K46" s="135">
        <v>1.1000000000000001</v>
      </c>
      <c r="L46" s="35"/>
      <c r="M46" s="18" t="s">
        <v>87</v>
      </c>
      <c r="N46" s="135">
        <v>1.1000000000000001</v>
      </c>
      <c r="O46" s="135">
        <v>1.1000000000000001</v>
      </c>
      <c r="P46" s="35"/>
      <c r="Q46" s="18" t="s">
        <v>87</v>
      </c>
      <c r="R46" s="135">
        <v>1.1000000000000001</v>
      </c>
      <c r="S46" s="135">
        <v>1.1000000000000001</v>
      </c>
      <c r="T46" s="28"/>
      <c r="U46" s="130"/>
      <c r="V46" s="27"/>
      <c r="AE46" s="130"/>
      <c r="AF46" s="27"/>
      <c r="AG46" s="163">
        <v>8</v>
      </c>
      <c r="AH46" s="164">
        <v>1.58244883325942E-5</v>
      </c>
      <c r="AI46" s="164">
        <v>7.5991667579655697E-5</v>
      </c>
      <c r="AJ46" s="35"/>
      <c r="AK46" s="163">
        <v>8</v>
      </c>
      <c r="AL46" s="164">
        <v>1.58244883325942E-5</v>
      </c>
      <c r="AM46" s="164">
        <v>7.5991667579655697E-5</v>
      </c>
      <c r="AN46" s="35"/>
      <c r="AO46" s="163">
        <v>8</v>
      </c>
      <c r="AP46" s="164">
        <v>1.58244883325942E-5</v>
      </c>
      <c r="AQ46" s="164">
        <v>7.5991667579655697E-5</v>
      </c>
      <c r="AR46" s="27"/>
      <c r="AT46" s="130"/>
      <c r="AW46" s="27"/>
    </row>
    <row r="47" spans="1:49" s="1" customFormat="1">
      <c r="A47" s="42"/>
      <c r="B47" s="24">
        <v>41</v>
      </c>
      <c r="C47" s="25">
        <v>2.5403156621817098E-4</v>
      </c>
      <c r="D47" s="25">
        <v>6.3958290186294498E-4</v>
      </c>
      <c r="F47" s="27"/>
      <c r="G47" s="130"/>
      <c r="H47" s="28"/>
      <c r="I47" s="18" t="s">
        <v>88</v>
      </c>
      <c r="J47" s="135">
        <v>1.2</v>
      </c>
      <c r="K47" s="135">
        <v>1.2</v>
      </c>
      <c r="L47" s="35"/>
      <c r="M47" s="18" t="s">
        <v>88</v>
      </c>
      <c r="N47" s="135">
        <v>1.2</v>
      </c>
      <c r="O47" s="135">
        <v>1.2</v>
      </c>
      <c r="P47" s="35"/>
      <c r="Q47" s="18" t="s">
        <v>88</v>
      </c>
      <c r="R47" s="135">
        <v>1.2</v>
      </c>
      <c r="S47" s="135">
        <v>1.2</v>
      </c>
      <c r="T47" s="28"/>
      <c r="U47" s="130"/>
      <c r="V47" s="27"/>
      <c r="AE47" s="130"/>
      <c r="AF47" s="27"/>
      <c r="AG47" s="163">
        <v>9</v>
      </c>
      <c r="AH47" s="164">
        <v>1.58208789060588E-5</v>
      </c>
      <c r="AI47" s="164">
        <v>7.5939003637892605E-5</v>
      </c>
      <c r="AJ47" s="35"/>
      <c r="AK47" s="163">
        <v>9</v>
      </c>
      <c r="AL47" s="164">
        <v>1.58208789060588E-5</v>
      </c>
      <c r="AM47" s="164">
        <v>7.5939003637892605E-5</v>
      </c>
      <c r="AN47" s="35"/>
      <c r="AO47" s="163">
        <v>9</v>
      </c>
      <c r="AP47" s="164">
        <v>1.58208789060588E-5</v>
      </c>
      <c r="AQ47" s="164">
        <v>7.5939003637892605E-5</v>
      </c>
      <c r="AR47" s="27"/>
      <c r="AT47" s="130"/>
      <c r="AW47" s="27"/>
    </row>
    <row r="48" spans="1:49" s="1" customFormat="1">
      <c r="A48" s="42"/>
      <c r="B48" s="24">
        <v>42</v>
      </c>
      <c r="C48" s="25">
        <v>2.5308434925708201E-4</v>
      </c>
      <c r="D48" s="25">
        <v>6.3582668626926996E-4</v>
      </c>
      <c r="F48" s="27"/>
      <c r="G48" s="130"/>
      <c r="H48" s="28"/>
      <c r="I48" s="18" t="s">
        <v>89</v>
      </c>
      <c r="J48" s="135">
        <v>1.3</v>
      </c>
      <c r="K48" s="135">
        <v>1.3</v>
      </c>
      <c r="L48" s="35"/>
      <c r="M48" s="18" t="s">
        <v>89</v>
      </c>
      <c r="N48" s="135">
        <v>1.3</v>
      </c>
      <c r="O48" s="135">
        <v>1.3</v>
      </c>
      <c r="P48" s="35"/>
      <c r="Q48" s="18" t="s">
        <v>89</v>
      </c>
      <c r="R48" s="135">
        <v>1.3</v>
      </c>
      <c r="S48" s="135">
        <v>1.3</v>
      </c>
      <c r="T48" s="28"/>
      <c r="U48" s="130"/>
      <c r="V48" s="27"/>
      <c r="W48" s="27"/>
      <c r="X48" s="36"/>
      <c r="Y48" s="63"/>
      <c r="AA48" s="27"/>
      <c r="AB48" s="27"/>
      <c r="AC48" s="27"/>
      <c r="AD48" s="27"/>
      <c r="AE48" s="130"/>
      <c r="AF48" s="27"/>
      <c r="AG48" s="163">
        <v>10</v>
      </c>
      <c r="AH48" s="164">
        <v>2.5209494758260401E-5</v>
      </c>
      <c r="AI48" s="164">
        <v>8.2324971556468896E-5</v>
      </c>
      <c r="AJ48" s="35"/>
      <c r="AK48" s="163">
        <v>10</v>
      </c>
      <c r="AL48" s="164">
        <v>2.5209494758260401E-5</v>
      </c>
      <c r="AM48" s="164">
        <v>8.2324971556468896E-5</v>
      </c>
      <c r="AN48" s="35"/>
      <c r="AO48" s="163">
        <v>10</v>
      </c>
      <c r="AP48" s="164">
        <v>2.5209494758260401E-5</v>
      </c>
      <c r="AQ48" s="164">
        <v>8.2324971556468896E-5</v>
      </c>
      <c r="AR48" s="27"/>
      <c r="AT48" s="130"/>
      <c r="AW48" s="27"/>
    </row>
    <row r="49" spans="1:49" s="1" customFormat="1" ht="15" thickBot="1">
      <c r="A49" s="42"/>
      <c r="B49" s="24">
        <v>43</v>
      </c>
      <c r="C49" s="25">
        <v>2.5214299123221801E-4</v>
      </c>
      <c r="D49" s="25">
        <v>6.3211516908412402E-4</v>
      </c>
      <c r="F49" s="27"/>
      <c r="G49" s="130"/>
      <c r="H49" s="28"/>
      <c r="I49" s="18" t="s">
        <v>90</v>
      </c>
      <c r="J49" s="135">
        <v>1.4</v>
      </c>
      <c r="K49" s="135">
        <v>1.4</v>
      </c>
      <c r="L49" s="35"/>
      <c r="M49" s="18" t="s">
        <v>90</v>
      </c>
      <c r="N49" s="135">
        <v>1.4</v>
      </c>
      <c r="O49" s="135">
        <v>1.4</v>
      </c>
      <c r="P49" s="35"/>
      <c r="Q49" s="18" t="s">
        <v>90</v>
      </c>
      <c r="R49" s="135">
        <v>1.4</v>
      </c>
      <c r="S49" s="135">
        <v>1.4</v>
      </c>
      <c r="T49" s="28"/>
      <c r="U49" s="130"/>
      <c r="V49" s="27"/>
      <c r="W49" s="27"/>
      <c r="X49" s="36"/>
      <c r="Y49" s="63"/>
      <c r="AA49" s="27"/>
      <c r="AB49" s="27"/>
      <c r="AC49" s="27"/>
      <c r="AD49" s="27"/>
      <c r="AE49" s="130"/>
      <c r="AF49" s="27"/>
      <c r="AG49" s="163">
        <v>11</v>
      </c>
      <c r="AH49" s="164">
        <v>2.5200333239494599E-5</v>
      </c>
      <c r="AI49" s="164">
        <v>8.2263139492000397E-5</v>
      </c>
      <c r="AJ49" s="35"/>
      <c r="AK49" s="163">
        <v>11</v>
      </c>
      <c r="AL49" s="164">
        <v>2.5200333239494599E-5</v>
      </c>
      <c r="AM49" s="164">
        <v>8.2263139492000397E-5</v>
      </c>
      <c r="AN49" s="35"/>
      <c r="AO49" s="163">
        <v>11</v>
      </c>
      <c r="AP49" s="164">
        <v>2.5200333239494599E-5</v>
      </c>
      <c r="AQ49" s="164">
        <v>8.2263139492000397E-5</v>
      </c>
      <c r="AR49" s="27"/>
      <c r="AT49" s="130"/>
      <c r="AW49" s="27"/>
    </row>
    <row r="50" spans="1:49" s="1" customFormat="1">
      <c r="A50" s="42"/>
      <c r="B50" s="24">
        <v>44</v>
      </c>
      <c r="C50" s="25">
        <v>2.5120747281892598E-4</v>
      </c>
      <c r="D50" s="25">
        <v>6.2844814543827599E-4</v>
      </c>
      <c r="F50" s="27"/>
      <c r="G50" s="130"/>
      <c r="H50" s="28"/>
      <c r="I50" s="18" t="s">
        <v>91</v>
      </c>
      <c r="J50" s="135">
        <v>1.5</v>
      </c>
      <c r="K50" s="135">
        <v>1.5</v>
      </c>
      <c r="L50" s="35"/>
      <c r="M50" s="18" t="s">
        <v>91</v>
      </c>
      <c r="N50" s="135">
        <v>1.5</v>
      </c>
      <c r="O50" s="135">
        <v>1.5</v>
      </c>
      <c r="P50" s="35"/>
      <c r="Q50" s="18" t="s">
        <v>91</v>
      </c>
      <c r="R50" s="135">
        <v>1.5</v>
      </c>
      <c r="S50" s="135">
        <v>1.5</v>
      </c>
      <c r="T50" s="28"/>
      <c r="U50" s="130"/>
      <c r="V50" s="27"/>
      <c r="W50" s="52" t="s">
        <v>81</v>
      </c>
      <c r="X50" s="53"/>
      <c r="Y50" s="53"/>
      <c r="Z50" s="53"/>
      <c r="AA50" s="53"/>
      <c r="AB50" s="151"/>
      <c r="AC50" s="27"/>
      <c r="AD50" s="27"/>
      <c r="AE50" s="130"/>
      <c r="AF50" s="27"/>
      <c r="AG50" s="163">
        <v>12</v>
      </c>
      <c r="AH50" s="164">
        <v>2.5191176838190701E-5</v>
      </c>
      <c r="AI50" s="164">
        <v>8.2201386071734106E-5</v>
      </c>
      <c r="AJ50" s="35"/>
      <c r="AK50" s="163">
        <v>12</v>
      </c>
      <c r="AL50" s="164">
        <v>2.5191176838190701E-5</v>
      </c>
      <c r="AM50" s="164">
        <v>8.2201386071734106E-5</v>
      </c>
      <c r="AN50" s="35"/>
      <c r="AO50" s="163">
        <v>12</v>
      </c>
      <c r="AP50" s="164">
        <v>2.5191176838190701E-5</v>
      </c>
      <c r="AQ50" s="164">
        <v>8.2201386071734106E-5</v>
      </c>
      <c r="AR50" s="36"/>
      <c r="AT50" s="130"/>
      <c r="AW50" s="27"/>
    </row>
    <row r="51" spans="1:49" s="1" customFormat="1">
      <c r="A51" s="42"/>
      <c r="B51" s="24">
        <v>45</v>
      </c>
      <c r="C51" s="25">
        <v>3.6698490224318402E-4</v>
      </c>
      <c r="D51" s="25">
        <v>9.6143465338172096E-4</v>
      </c>
      <c r="F51" s="27"/>
      <c r="G51" s="130"/>
      <c r="H51" s="28"/>
      <c r="I51" s="18" t="s">
        <v>92</v>
      </c>
      <c r="J51" s="135">
        <v>1.6</v>
      </c>
      <c r="K51" s="135">
        <v>1.6</v>
      </c>
      <c r="L51" s="35"/>
      <c r="M51" s="18" t="s">
        <v>92</v>
      </c>
      <c r="N51" s="135">
        <v>1.6</v>
      </c>
      <c r="O51" s="135">
        <v>1.6</v>
      </c>
      <c r="P51" s="35"/>
      <c r="Q51" s="18" t="s">
        <v>92</v>
      </c>
      <c r="R51" s="135">
        <v>1.6</v>
      </c>
      <c r="S51" s="135">
        <v>1.6</v>
      </c>
      <c r="T51" s="28"/>
      <c r="U51" s="130"/>
      <c r="V51" s="27"/>
      <c r="W51" s="55"/>
      <c r="X51" s="36"/>
      <c r="Y51" s="36"/>
      <c r="Z51" s="36"/>
      <c r="AA51" s="36" t="s">
        <v>299</v>
      </c>
      <c r="AB51" s="152"/>
      <c r="AC51" s="27"/>
      <c r="AD51" s="27"/>
      <c r="AE51" s="130"/>
      <c r="AF51" s="27"/>
      <c r="AG51" s="163">
        <v>13</v>
      </c>
      <c r="AH51" s="164">
        <v>2.5182025553127699E-5</v>
      </c>
      <c r="AI51" s="164">
        <v>8.2139711287232395E-5</v>
      </c>
      <c r="AJ51" s="35"/>
      <c r="AK51" s="163">
        <v>13</v>
      </c>
      <c r="AL51" s="164">
        <v>2.5182025553127699E-5</v>
      </c>
      <c r="AM51" s="164">
        <v>8.2139711287232395E-5</v>
      </c>
      <c r="AN51" s="35"/>
      <c r="AO51" s="163">
        <v>13</v>
      </c>
      <c r="AP51" s="164">
        <v>2.5182025553127699E-5</v>
      </c>
      <c r="AQ51" s="164">
        <v>8.2139711287232395E-5</v>
      </c>
      <c r="AR51" s="28"/>
      <c r="AT51" s="130"/>
      <c r="AW51" s="27"/>
    </row>
    <row r="52" spans="1:49" s="1" customFormat="1">
      <c r="A52" s="42"/>
      <c r="B52" s="24">
        <v>46</v>
      </c>
      <c r="C52" s="25">
        <v>3.6500084548551898E-4</v>
      </c>
      <c r="D52" s="25">
        <v>9.5299143984550695E-4</v>
      </c>
      <c r="F52" s="27"/>
      <c r="G52" s="130"/>
      <c r="H52" s="28"/>
      <c r="I52" s="18" t="s">
        <v>93</v>
      </c>
      <c r="J52" s="135">
        <v>1.7</v>
      </c>
      <c r="K52" s="135">
        <v>1.7</v>
      </c>
      <c r="M52" s="18" t="s">
        <v>93</v>
      </c>
      <c r="N52" s="135">
        <v>1.7</v>
      </c>
      <c r="O52" s="135">
        <v>1.7</v>
      </c>
      <c r="Q52" s="18" t="s">
        <v>93</v>
      </c>
      <c r="R52" s="135">
        <v>1.7</v>
      </c>
      <c r="S52" s="135">
        <v>1.7</v>
      </c>
      <c r="T52" s="28"/>
      <c r="U52" s="130"/>
      <c r="V52" s="27"/>
      <c r="W52" s="55" t="s">
        <v>78</v>
      </c>
      <c r="X52" s="36" t="s">
        <v>12</v>
      </c>
      <c r="Y52" s="36" t="s">
        <v>96</v>
      </c>
      <c r="Z52" s="50">
        <f>VLOOKUP(X54, IF(X53="Light", AG38:AI138, IF(X53="Moderate", AK38:AM138, IF(X53="Heavy", AO38:AQ138, "Error"))), IF(X52="Male", 3, 2))</f>
        <v>6.4338401109953502E-4</v>
      </c>
      <c r="AA52" s="150">
        <v>0</v>
      </c>
      <c r="AB52" s="152"/>
      <c r="AC52" s="27"/>
      <c r="AD52" s="27"/>
      <c r="AE52" s="130"/>
      <c r="AF52" s="27"/>
      <c r="AG52" s="163">
        <v>14</v>
      </c>
      <c r="AH52" s="164">
        <v>2.51728793831951E-5</v>
      </c>
      <c r="AI52" s="164">
        <v>8.2078115129391395E-5</v>
      </c>
      <c r="AJ52" s="35"/>
      <c r="AK52" s="163">
        <v>14</v>
      </c>
      <c r="AL52" s="164">
        <v>2.51728793831951E-5</v>
      </c>
      <c r="AM52" s="164">
        <v>8.2078115129391395E-5</v>
      </c>
      <c r="AN52" s="35"/>
      <c r="AO52" s="163">
        <v>14</v>
      </c>
      <c r="AP52" s="164">
        <v>2.51728793831951E-5</v>
      </c>
      <c r="AQ52" s="164">
        <v>8.2078115129391395E-5</v>
      </c>
      <c r="AR52" s="28"/>
      <c r="AT52" s="130"/>
      <c r="AW52" s="27"/>
    </row>
    <row r="53" spans="1:49" s="1" customFormat="1">
      <c r="A53" s="42"/>
      <c r="B53" s="24">
        <v>47</v>
      </c>
      <c r="C53" s="25">
        <v>3.6303501446177699E-4</v>
      </c>
      <c r="D53" s="25">
        <v>9.4470792012346595E-4</v>
      </c>
      <c r="F53" s="27"/>
      <c r="G53" s="130"/>
      <c r="H53" s="28"/>
      <c r="I53" s="140" t="s">
        <v>94</v>
      </c>
      <c r="J53" s="135">
        <v>1.7</v>
      </c>
      <c r="K53" s="135">
        <v>1.7</v>
      </c>
      <c r="M53" s="140" t="s">
        <v>94</v>
      </c>
      <c r="N53" s="135">
        <v>1.7</v>
      </c>
      <c r="O53" s="135">
        <v>1.7</v>
      </c>
      <c r="Q53" s="140" t="s">
        <v>94</v>
      </c>
      <c r="R53" s="135">
        <v>1.7</v>
      </c>
      <c r="S53" s="135">
        <v>1.7</v>
      </c>
      <c r="T53" s="28"/>
      <c r="U53" s="130"/>
      <c r="V53" s="27"/>
      <c r="W53" s="55" t="s">
        <v>77</v>
      </c>
      <c r="X53" s="36" t="s">
        <v>17</v>
      </c>
      <c r="Y53" s="43"/>
      <c r="Z53" s="50">
        <f>Z52</f>
        <v>6.4338401109953502E-4</v>
      </c>
      <c r="AA53" s="150">
        <f>W6</f>
        <v>12</v>
      </c>
      <c r="AB53" s="152"/>
      <c r="AC53" s="27"/>
      <c r="AD53" s="27"/>
      <c r="AE53" s="130"/>
      <c r="AF53" s="27"/>
      <c r="AG53" s="163">
        <v>15</v>
      </c>
      <c r="AH53" s="164">
        <v>6.7285522306170797E-5</v>
      </c>
      <c r="AI53" s="164">
        <v>1.5094093972600799E-4</v>
      </c>
      <c r="AJ53" s="35"/>
      <c r="AK53" s="163">
        <v>15</v>
      </c>
      <c r="AL53" s="164">
        <v>6.7285522306170797E-5</v>
      </c>
      <c r="AM53" s="164">
        <v>1.5094093972600799E-4</v>
      </c>
      <c r="AN53" s="35"/>
      <c r="AO53" s="163">
        <v>15</v>
      </c>
      <c r="AP53" s="164">
        <v>6.7285522306170797E-5</v>
      </c>
      <c r="AQ53" s="164">
        <v>1.5094093972600799E-4</v>
      </c>
      <c r="AR53" s="28"/>
      <c r="AT53" s="130"/>
      <c r="AW53" s="27"/>
    </row>
    <row r="54" spans="1:49" s="1" customFormat="1" ht="15">
      <c r="A54" s="42"/>
      <c r="B54" s="24">
        <v>48</v>
      </c>
      <c r="C54" s="25">
        <v>3.6108731464412597E-4</v>
      </c>
      <c r="D54" s="25">
        <v>9.3658269217733502E-4</v>
      </c>
      <c r="F54" s="27"/>
      <c r="G54" s="130"/>
      <c r="H54" s="28"/>
      <c r="I54" s="137" t="s">
        <v>95</v>
      </c>
      <c r="J54" s="135">
        <v>1.7</v>
      </c>
      <c r="K54" s="135">
        <v>1.7</v>
      </c>
      <c r="M54" s="137" t="s">
        <v>95</v>
      </c>
      <c r="N54" s="135">
        <v>1.7</v>
      </c>
      <c r="O54" s="135">
        <v>1.7</v>
      </c>
      <c r="P54" s="112"/>
      <c r="Q54" s="137" t="s">
        <v>95</v>
      </c>
      <c r="R54" s="135">
        <v>1.7</v>
      </c>
      <c r="S54" s="135">
        <v>1.7</v>
      </c>
      <c r="T54" s="28"/>
      <c r="U54" s="130"/>
      <c r="V54" s="27"/>
      <c r="W54" s="55" t="s">
        <v>22</v>
      </c>
      <c r="X54" s="138">
        <v>40</v>
      </c>
      <c r="Y54" s="36" t="s">
        <v>301</v>
      </c>
      <c r="Z54" s="50">
        <f>VLOOKUP(X54, IF(X53="Light", I61:K161, IF(X53="Moderate", M61:O161, IF(X53="Heavy", Q61:S161, "Error"))), IF(X52="Male", 3,2))*VLOOKUP(X55, IF(X53="Light", I40:K54, IF(X53="Moderate", M40:O54, IF(X53="Heavy", Q40:S54, "Error"))), IF(X52="Male", 3,2))</f>
        <v>3.0882432532777679E-4</v>
      </c>
      <c r="AA54" s="150">
        <f>X6</f>
        <v>60</v>
      </c>
      <c r="AB54" s="152"/>
      <c r="AE54" s="130"/>
      <c r="AF54" s="27"/>
      <c r="AG54" s="163">
        <v>16</v>
      </c>
      <c r="AH54" s="164">
        <v>6.7220223783137607E-5</v>
      </c>
      <c r="AI54" s="164">
        <v>1.5073294110501401E-4</v>
      </c>
      <c r="AJ54" s="35"/>
      <c r="AK54" s="163">
        <v>16</v>
      </c>
      <c r="AL54" s="164">
        <v>6.7220223783137607E-5</v>
      </c>
      <c r="AM54" s="164">
        <v>1.5073294110501401E-4</v>
      </c>
      <c r="AN54" s="35"/>
      <c r="AO54" s="163">
        <v>16</v>
      </c>
      <c r="AP54" s="164">
        <v>6.7220223783137607E-5</v>
      </c>
      <c r="AQ54" s="164">
        <v>1.5073294110501401E-4</v>
      </c>
      <c r="AR54" s="28"/>
      <c r="AT54" s="130"/>
      <c r="AW54" s="27"/>
    </row>
    <row r="55" spans="1:49" s="1" customFormat="1">
      <c r="A55" s="44"/>
      <c r="B55" s="24">
        <v>49</v>
      </c>
      <c r="C55" s="25">
        <v>3.5915765015703799E-4</v>
      </c>
      <c r="D55" s="25">
        <v>9.2861428799673195E-4</v>
      </c>
      <c r="F55" s="27"/>
      <c r="G55" s="130"/>
      <c r="H55" s="28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8"/>
      <c r="U55" s="131"/>
      <c r="V55" s="36"/>
      <c r="W55" s="55" t="s">
        <v>112</v>
      </c>
      <c r="X55" s="36" t="s">
        <v>98</v>
      </c>
      <c r="Y55" s="36"/>
      <c r="Z55" s="27"/>
      <c r="AA55" s="27"/>
      <c r="AB55" s="152"/>
      <c r="AC55" s="2"/>
      <c r="AD55" s="2"/>
      <c r="AE55" s="130"/>
      <c r="AF55" s="27"/>
      <c r="AG55" s="163">
        <v>17</v>
      </c>
      <c r="AH55" s="164">
        <v>6.7155023009135602E-5</v>
      </c>
      <c r="AI55" s="164">
        <v>1.5052543278426501E-4</v>
      </c>
      <c r="AJ55" s="35"/>
      <c r="AK55" s="163">
        <v>17</v>
      </c>
      <c r="AL55" s="164">
        <v>6.7155023009135602E-5</v>
      </c>
      <c r="AM55" s="164">
        <v>1.5052543278426501E-4</v>
      </c>
      <c r="AN55" s="35"/>
      <c r="AO55" s="163">
        <v>17</v>
      </c>
      <c r="AP55" s="164">
        <v>6.7155023009135602E-5</v>
      </c>
      <c r="AQ55" s="164">
        <v>1.5052543278426501E-4</v>
      </c>
      <c r="AR55" s="28"/>
      <c r="AS55" s="2"/>
      <c r="AT55" s="130"/>
      <c r="AW55" s="27"/>
    </row>
    <row r="56" spans="1:49" s="1" customFormat="1" ht="15" thickBot="1">
      <c r="A56" s="42"/>
      <c r="B56" s="24">
        <v>50</v>
      </c>
      <c r="C56" s="25">
        <v>5.7644062303463495E-4</v>
      </c>
      <c r="D56" s="25">
        <v>1.48131107392968E-3</v>
      </c>
      <c r="F56" s="27"/>
      <c r="G56" s="130"/>
      <c r="H56" s="28"/>
      <c r="T56" s="28"/>
      <c r="U56" s="130"/>
      <c r="V56" s="27"/>
      <c r="W56" s="153"/>
      <c r="X56" s="47"/>
      <c r="Y56" s="47"/>
      <c r="Z56" s="47"/>
      <c r="AA56" s="47"/>
      <c r="AB56" s="48"/>
      <c r="AE56" s="130"/>
      <c r="AF56" s="27"/>
      <c r="AG56" s="163">
        <v>18</v>
      </c>
      <c r="AH56" s="164">
        <v>6.7089919921436994E-5</v>
      </c>
      <c r="AI56" s="164">
        <v>1.50318414639083E-4</v>
      </c>
      <c r="AJ56" s="35"/>
      <c r="AK56" s="163">
        <v>18</v>
      </c>
      <c r="AL56" s="164">
        <v>6.7089919921436994E-5</v>
      </c>
      <c r="AM56" s="164">
        <v>1.50318414639083E-4</v>
      </c>
      <c r="AN56" s="35"/>
      <c r="AO56" s="163">
        <v>18</v>
      </c>
      <c r="AP56" s="164">
        <v>6.7089919921436994E-5</v>
      </c>
      <c r="AQ56" s="164">
        <v>1.50318414639083E-4</v>
      </c>
      <c r="AR56" s="28"/>
      <c r="AT56" s="130"/>
      <c r="AW56" s="27"/>
    </row>
    <row r="57" spans="1:49" s="1" customFormat="1" ht="15">
      <c r="A57" s="42"/>
      <c r="B57" s="24">
        <v>51</v>
      </c>
      <c r="C57" s="25">
        <v>5.71522078917308E-4</v>
      </c>
      <c r="D57" s="25">
        <v>1.4616293804536899E-3</v>
      </c>
      <c r="F57" s="27"/>
      <c r="G57" s="130"/>
      <c r="H57" s="28"/>
      <c r="K57" s="133" t="s">
        <v>297</v>
      </c>
      <c r="M57" s="112"/>
      <c r="N57" s="112"/>
      <c r="O57" s="112"/>
      <c r="P57" s="112"/>
      <c r="Q57" s="112"/>
      <c r="R57" s="112"/>
      <c r="S57" s="112"/>
      <c r="T57" s="28"/>
      <c r="U57" s="130"/>
      <c r="V57" s="27"/>
      <c r="AE57" s="130"/>
      <c r="AF57" s="27"/>
      <c r="AG57" s="163">
        <v>19</v>
      </c>
      <c r="AH57" s="164">
        <v>6.7024914456648195E-5</v>
      </c>
      <c r="AI57" s="164">
        <v>1.5011188653812901E-4</v>
      </c>
      <c r="AJ57" s="35"/>
      <c r="AK57" s="163">
        <v>19</v>
      </c>
      <c r="AL57" s="164">
        <v>6.7024914456648195E-5</v>
      </c>
      <c r="AM57" s="164">
        <v>1.5011188653812901E-4</v>
      </c>
      <c r="AN57" s="35"/>
      <c r="AO57" s="163">
        <v>19</v>
      </c>
      <c r="AP57" s="164">
        <v>6.7024914456648195E-5</v>
      </c>
      <c r="AQ57" s="164">
        <v>1.5011188653812901E-4</v>
      </c>
      <c r="AR57" s="28"/>
      <c r="AT57" s="130"/>
      <c r="AW57" s="27"/>
    </row>
    <row r="58" spans="1:49" s="2" customFormat="1" ht="15">
      <c r="A58" s="42"/>
      <c r="B58" s="24">
        <v>52</v>
      </c>
      <c r="C58" s="25">
        <v>5.66678034814583E-4</v>
      </c>
      <c r="D58" s="25">
        <v>1.44257914928492E-3</v>
      </c>
      <c r="F58" s="36"/>
      <c r="G58" s="131"/>
      <c r="H58" s="28"/>
      <c r="I58" s="1"/>
      <c r="J58" s="1"/>
      <c r="K58" s="133"/>
      <c r="L58" s="1"/>
      <c r="M58" s="112"/>
      <c r="N58" s="112"/>
      <c r="O58" s="112"/>
      <c r="P58" s="112"/>
      <c r="Q58" s="112"/>
      <c r="R58" s="112"/>
      <c r="S58" s="112"/>
      <c r="T58" s="28"/>
      <c r="U58" s="130"/>
      <c r="V58" s="27"/>
      <c r="W58" s="1"/>
      <c r="X58" s="1"/>
      <c r="Y58" s="1"/>
      <c r="Z58" s="1"/>
      <c r="AA58" s="1"/>
      <c r="AB58" s="1"/>
      <c r="AC58" s="1"/>
      <c r="AD58" s="1"/>
      <c r="AE58" s="130"/>
      <c r="AF58" s="27"/>
      <c r="AG58" s="163">
        <v>20</v>
      </c>
      <c r="AH58" s="164">
        <v>1.0069125034972699E-4</v>
      </c>
      <c r="AI58" s="164">
        <v>2.0776216447659899E-4</v>
      </c>
      <c r="AJ58" s="35"/>
      <c r="AK58" s="163">
        <v>20</v>
      </c>
      <c r="AL58" s="164">
        <v>1.0069125034972699E-4</v>
      </c>
      <c r="AM58" s="164">
        <v>2.0776216447659899E-4</v>
      </c>
      <c r="AN58" s="35"/>
      <c r="AO58" s="163">
        <v>20</v>
      </c>
      <c r="AP58" s="164">
        <v>1.0069125034972699E-4</v>
      </c>
      <c r="AQ58" s="164">
        <v>2.0776216447659899E-4</v>
      </c>
      <c r="AR58" s="28"/>
      <c r="AS58" s="1"/>
      <c r="AT58" s="130"/>
      <c r="AW58" s="36"/>
    </row>
    <row r="59" spans="1:49" s="1" customFormat="1">
      <c r="A59" s="42"/>
      <c r="B59" s="24">
        <v>53</v>
      </c>
      <c r="C59" s="25">
        <v>5.6190779443099402E-4</v>
      </c>
      <c r="D59" s="25">
        <v>1.4241485743697901E-3</v>
      </c>
      <c r="F59" s="27"/>
      <c r="G59" s="130"/>
      <c r="H59" s="28"/>
      <c r="J59" s="110" t="s">
        <v>15</v>
      </c>
      <c r="K59" s="134"/>
      <c r="L59" s="134"/>
      <c r="N59" s="110" t="s">
        <v>16</v>
      </c>
      <c r="O59" s="134"/>
      <c r="P59" s="134"/>
      <c r="R59" s="110" t="s">
        <v>17</v>
      </c>
      <c r="T59" s="28"/>
      <c r="U59" s="130"/>
      <c r="V59" s="27"/>
      <c r="AE59" s="130"/>
      <c r="AF59" s="27"/>
      <c r="AG59" s="163">
        <v>21</v>
      </c>
      <c r="AH59" s="164">
        <v>1.0054473606024799E-4</v>
      </c>
      <c r="AI59" s="164">
        <v>2.0736748884708799E-4</v>
      </c>
      <c r="AJ59" s="18"/>
      <c r="AK59" s="163">
        <v>21</v>
      </c>
      <c r="AL59" s="164">
        <v>1.0054473606024799E-4</v>
      </c>
      <c r="AM59" s="164">
        <v>2.0736748884708799E-4</v>
      </c>
      <c r="AN59" s="18"/>
      <c r="AO59" s="163">
        <v>21</v>
      </c>
      <c r="AP59" s="164">
        <v>1.0054473606024799E-4</v>
      </c>
      <c r="AQ59" s="164">
        <v>2.0736748884708799E-4</v>
      </c>
      <c r="AR59" s="28"/>
      <c r="AT59" s="130"/>
      <c r="AW59" s="27"/>
    </row>
    <row r="60" spans="1:49" s="1" customFormat="1">
      <c r="A60" s="42"/>
      <c r="B60" s="24">
        <v>54</v>
      </c>
      <c r="C60" s="25">
        <v>5.5721065018898798E-4</v>
      </c>
      <c r="D60" s="25">
        <v>1.40632540897589E-3</v>
      </c>
      <c r="F60" s="27"/>
      <c r="G60" s="130"/>
      <c r="H60" s="28"/>
      <c r="I60" s="2" t="s">
        <v>22</v>
      </c>
      <c r="J60" s="2" t="s">
        <v>13</v>
      </c>
      <c r="K60" s="2" t="s">
        <v>12</v>
      </c>
      <c r="L60" s="2"/>
      <c r="M60" s="2" t="s">
        <v>22</v>
      </c>
      <c r="N60" s="2" t="s">
        <v>13</v>
      </c>
      <c r="O60" s="2" t="s">
        <v>12</v>
      </c>
      <c r="P60" s="2"/>
      <c r="Q60" s="2" t="s">
        <v>22</v>
      </c>
      <c r="R60" s="2" t="s">
        <v>13</v>
      </c>
      <c r="S60" s="2" t="s">
        <v>12</v>
      </c>
      <c r="T60" s="28"/>
      <c r="U60" s="130"/>
      <c r="V60" s="27"/>
      <c r="AE60" s="130"/>
      <c r="AF60" s="27"/>
      <c r="AG60" s="163">
        <v>22</v>
      </c>
      <c r="AH60" s="164">
        <v>1.0039855315091601E-4</v>
      </c>
      <c r="AI60" s="164">
        <v>2.0697411744652301E-4</v>
      </c>
      <c r="AJ60" s="35"/>
      <c r="AK60" s="163">
        <v>22</v>
      </c>
      <c r="AL60" s="164">
        <v>1.0039855315091601E-4</v>
      </c>
      <c r="AM60" s="164">
        <v>2.0697411744652301E-4</v>
      </c>
      <c r="AN60" s="35"/>
      <c r="AO60" s="163">
        <v>22</v>
      </c>
      <c r="AP60" s="164">
        <v>1.0039855315091601E-4</v>
      </c>
      <c r="AQ60" s="164">
        <v>2.0697411744652301E-4</v>
      </c>
      <c r="AR60" s="28"/>
      <c r="AT60" s="130"/>
      <c r="AW60" s="27"/>
    </row>
    <row r="61" spans="1:49" s="1" customFormat="1">
      <c r="A61" s="42"/>
      <c r="B61" s="24">
        <v>55</v>
      </c>
      <c r="C61" s="25">
        <v>9.2854668463171496E-4</v>
      </c>
      <c r="D61" s="25">
        <v>2.2561060185604101E-3</v>
      </c>
      <c r="F61" s="27"/>
      <c r="G61" s="130"/>
      <c r="H61" s="28"/>
      <c r="I61" s="24">
        <v>0</v>
      </c>
      <c r="J61" s="25">
        <v>6.7472719458940879E-4</v>
      </c>
      <c r="K61" s="25">
        <v>2.7765539405664643E-3</v>
      </c>
      <c r="M61" s="24">
        <v>0</v>
      </c>
      <c r="N61" s="25">
        <v>6.7472719458940879E-4</v>
      </c>
      <c r="O61" s="25">
        <v>2.7765539405664643E-3</v>
      </c>
      <c r="Q61" s="24">
        <v>0</v>
      </c>
      <c r="R61" s="25">
        <v>6.7472719458940879E-4</v>
      </c>
      <c r="S61" s="29">
        <v>2.7765539405664643E-3</v>
      </c>
      <c r="T61" s="28"/>
      <c r="U61" s="130"/>
      <c r="V61" s="27"/>
      <c r="AE61" s="130"/>
      <c r="AF61" s="27"/>
      <c r="AG61" s="163">
        <v>23</v>
      </c>
      <c r="AH61" s="164">
        <v>1.00252701290549E-4</v>
      </c>
      <c r="AI61" s="164">
        <v>2.0658204966761401E-4</v>
      </c>
      <c r="AJ61" s="35"/>
      <c r="AK61" s="163">
        <v>23</v>
      </c>
      <c r="AL61" s="164">
        <v>1.00252701290549E-4</v>
      </c>
      <c r="AM61" s="164">
        <v>2.0658204966761401E-4</v>
      </c>
      <c r="AN61" s="35"/>
      <c r="AO61" s="163">
        <v>23</v>
      </c>
      <c r="AP61" s="164">
        <v>1.00252701290549E-4</v>
      </c>
      <c r="AQ61" s="164">
        <v>2.0658204966761401E-4</v>
      </c>
      <c r="AR61" s="28"/>
      <c r="AT61" s="130"/>
      <c r="AW61" s="27"/>
    </row>
    <row r="62" spans="1:49" s="1" customFormat="1">
      <c r="A62" s="42"/>
      <c r="B62" s="24">
        <v>56</v>
      </c>
      <c r="C62" s="25">
        <v>8.2566045880705396E-4</v>
      </c>
      <c r="D62" s="25">
        <v>1.1122834412387E-3</v>
      </c>
      <c r="F62" s="27"/>
      <c r="G62" s="130"/>
      <c r="H62" s="28"/>
      <c r="I62" s="24">
        <v>1</v>
      </c>
      <c r="J62" s="25">
        <v>3.6912505066322161E-5</v>
      </c>
      <c r="K62" s="25">
        <v>1.5055977899169922E-4</v>
      </c>
      <c r="M62" s="24">
        <v>1</v>
      </c>
      <c r="N62" s="25">
        <v>3.6912505066322161E-5</v>
      </c>
      <c r="O62" s="25">
        <v>1.5055977899169922E-4</v>
      </c>
      <c r="Q62" s="24">
        <v>1</v>
      </c>
      <c r="R62" s="25">
        <v>3.6912505066322161E-5</v>
      </c>
      <c r="S62" s="25">
        <v>1.5055977899169922E-4</v>
      </c>
      <c r="T62" s="28"/>
      <c r="U62" s="130"/>
      <c r="V62" s="27"/>
      <c r="AE62" s="130"/>
      <c r="AF62" s="27"/>
      <c r="AG62" s="163">
        <v>24</v>
      </c>
      <c r="AH62" s="164">
        <v>1.00107180145304E-4</v>
      </c>
      <c r="AI62" s="164">
        <v>2.0619128486842899E-4</v>
      </c>
      <c r="AJ62" s="35"/>
      <c r="AK62" s="163">
        <v>24</v>
      </c>
      <c r="AL62" s="164">
        <v>1.00107180145304E-4</v>
      </c>
      <c r="AM62" s="164">
        <v>2.0619128486842899E-4</v>
      </c>
      <c r="AN62" s="35"/>
      <c r="AO62" s="163">
        <v>24</v>
      </c>
      <c r="AP62" s="164">
        <v>1.00107180145304E-4</v>
      </c>
      <c r="AQ62" s="164">
        <v>2.0619128486842899E-4</v>
      </c>
      <c r="AR62" s="28"/>
      <c r="AT62" s="130"/>
      <c r="AW62" s="27"/>
    </row>
    <row r="63" spans="1:49" s="1" customFormat="1">
      <c r="A63" s="42"/>
      <c r="B63" s="24">
        <v>57</v>
      </c>
      <c r="C63" s="25">
        <v>8.2408904274244897E-4</v>
      </c>
      <c r="D63" s="25">
        <v>1.10175388600897E-3</v>
      </c>
      <c r="F63" s="27"/>
      <c r="G63" s="130"/>
      <c r="H63" s="28"/>
      <c r="I63" s="24">
        <v>2</v>
      </c>
      <c r="J63" s="25">
        <v>3.6887999942170082E-5</v>
      </c>
      <c r="K63" s="25">
        <v>1.503022993178504E-4</v>
      </c>
      <c r="M63" s="24">
        <v>2</v>
      </c>
      <c r="N63" s="25">
        <v>3.6887999942170082E-5</v>
      </c>
      <c r="O63" s="25">
        <v>1.503022993178504E-4</v>
      </c>
      <c r="Q63" s="24">
        <v>2</v>
      </c>
      <c r="R63" s="25">
        <v>3.6887999942170082E-5</v>
      </c>
      <c r="S63" s="25">
        <v>1.503022993178504E-4</v>
      </c>
      <c r="T63" s="28"/>
      <c r="U63" s="130"/>
      <c r="V63" s="27"/>
      <c r="AE63" s="130"/>
      <c r="AF63" s="27"/>
      <c r="AG63" s="163">
        <v>25</v>
      </c>
      <c r="AH63" s="164">
        <v>1.1260377907607001E-4</v>
      </c>
      <c r="AI63" s="164">
        <v>2.5240265609949303E-4</v>
      </c>
      <c r="AJ63" s="35"/>
      <c r="AK63" s="163">
        <v>25</v>
      </c>
      <c r="AL63" s="164">
        <v>1.1260377907607001E-4</v>
      </c>
      <c r="AM63" s="164">
        <v>2.5240265609949303E-4</v>
      </c>
      <c r="AN63" s="35"/>
      <c r="AO63" s="163">
        <v>25</v>
      </c>
      <c r="AP63" s="164">
        <v>1.1260377907607001E-4</v>
      </c>
      <c r="AQ63" s="164">
        <v>2.5240265609949303E-4</v>
      </c>
      <c r="AR63" s="28"/>
      <c r="AT63" s="130"/>
      <c r="AW63" s="27"/>
    </row>
    <row r="64" spans="1:49" s="1" customFormat="1">
      <c r="A64" s="42"/>
      <c r="B64" s="24">
        <v>58</v>
      </c>
      <c r="C64" s="25">
        <v>8.2253437159407505E-4</v>
      </c>
      <c r="D64" s="25">
        <v>1.0915229815805501E-3</v>
      </c>
      <c r="F64" s="27"/>
      <c r="G64" s="130"/>
      <c r="H64" s="28"/>
      <c r="I64" s="24">
        <v>3</v>
      </c>
      <c r="J64" s="25">
        <v>3.6863519700158805E-5</v>
      </c>
      <c r="K64" s="25">
        <v>1.5004555015556403E-4</v>
      </c>
      <c r="M64" s="24">
        <v>3</v>
      </c>
      <c r="N64" s="25">
        <v>3.6863519700158805E-5</v>
      </c>
      <c r="O64" s="25">
        <v>1.5004555015556403E-4</v>
      </c>
      <c r="Q64" s="24">
        <v>3</v>
      </c>
      <c r="R64" s="25">
        <v>3.6863519700158805E-5</v>
      </c>
      <c r="S64" s="25">
        <v>1.5004555015556403E-4</v>
      </c>
      <c r="T64" s="28"/>
      <c r="U64" s="130"/>
      <c r="V64" s="27"/>
      <c r="AE64" s="130"/>
      <c r="AF64" s="36"/>
      <c r="AG64" s="163">
        <v>26</v>
      </c>
      <c r="AH64" s="164">
        <v>1.12419980829337E-4</v>
      </c>
      <c r="AI64" s="164">
        <v>2.5181900008808299E-4</v>
      </c>
      <c r="AJ64" s="35"/>
      <c r="AK64" s="163">
        <v>26</v>
      </c>
      <c r="AL64" s="164">
        <v>1.12419980829337E-4</v>
      </c>
      <c r="AM64" s="164">
        <v>2.5181900008808299E-4</v>
      </c>
      <c r="AN64" s="35"/>
      <c r="AO64" s="163">
        <v>26</v>
      </c>
      <c r="AP64" s="164">
        <v>1.12419980829337E-4</v>
      </c>
      <c r="AQ64" s="164">
        <v>2.5181900008808299E-4</v>
      </c>
      <c r="AR64" s="28"/>
      <c r="AT64" s="130"/>
      <c r="AW64" s="27"/>
    </row>
    <row r="65" spans="1:49" s="1" customFormat="1">
      <c r="A65" s="42"/>
      <c r="B65" s="24">
        <v>59</v>
      </c>
      <c r="C65" s="25">
        <v>8.2099630481169395E-4</v>
      </c>
      <c r="D65" s="25">
        <v>1.0815847038364601E-3</v>
      </c>
      <c r="F65" s="27"/>
      <c r="G65" s="130"/>
      <c r="H65" s="28"/>
      <c r="I65" s="24">
        <v>4</v>
      </c>
      <c r="J65" s="25">
        <v>3.6839064329718965E-5</v>
      </c>
      <c r="K65" s="25">
        <v>1.4978953140483122E-4</v>
      </c>
      <c r="M65" s="24">
        <v>4</v>
      </c>
      <c r="N65" s="25">
        <v>3.6839064329718965E-5</v>
      </c>
      <c r="O65" s="25">
        <v>1.4978953140483122E-4</v>
      </c>
      <c r="Q65" s="24">
        <v>4</v>
      </c>
      <c r="R65" s="25">
        <v>3.6839064329718965E-5</v>
      </c>
      <c r="S65" s="25">
        <v>1.4978953140483122E-4</v>
      </c>
      <c r="T65" s="28"/>
      <c r="U65" s="130"/>
      <c r="V65" s="27"/>
      <c r="AE65" s="130"/>
      <c r="AF65" s="27"/>
      <c r="AG65" s="163">
        <v>27</v>
      </c>
      <c r="AH65" s="164">
        <v>1.12236653892372E-4</v>
      </c>
      <c r="AI65" s="164">
        <v>2.5123774484592199E-4</v>
      </c>
      <c r="AJ65" s="35"/>
      <c r="AK65" s="163">
        <v>27</v>
      </c>
      <c r="AL65" s="164">
        <v>1.12236653892372E-4</v>
      </c>
      <c r="AM65" s="164">
        <v>2.5123774484592199E-4</v>
      </c>
      <c r="AN65" s="35"/>
      <c r="AO65" s="163">
        <v>27</v>
      </c>
      <c r="AP65" s="164">
        <v>1.12236653892372E-4</v>
      </c>
      <c r="AQ65" s="164">
        <v>2.5123774484592199E-4</v>
      </c>
      <c r="AR65" s="28"/>
      <c r="AT65" s="130"/>
      <c r="AW65" s="27"/>
    </row>
    <row r="66" spans="1:49" s="1" customFormat="1">
      <c r="A66" s="42"/>
      <c r="B66" s="24">
        <v>60</v>
      </c>
      <c r="C66" s="25">
        <v>1.3331590162722899E-3</v>
      </c>
      <c r="D66" s="25">
        <v>1.7277921812095501E-3</v>
      </c>
      <c r="F66" s="27"/>
      <c r="G66" s="130"/>
      <c r="H66" s="28"/>
      <c r="I66" s="24">
        <v>5</v>
      </c>
      <c r="J66" s="25">
        <v>1.2668259359838161E-5</v>
      </c>
      <c r="K66" s="25">
        <v>6.0920023269694961E-5</v>
      </c>
      <c r="M66" s="24">
        <v>5</v>
      </c>
      <c r="N66" s="25">
        <v>1.2668259359838161E-5</v>
      </c>
      <c r="O66" s="25">
        <v>6.0920023269694961E-5</v>
      </c>
      <c r="Q66" s="24">
        <v>5</v>
      </c>
      <c r="R66" s="25">
        <v>1.2668259359838161E-5</v>
      </c>
      <c r="S66" s="25">
        <v>6.0920023269694961E-5</v>
      </c>
      <c r="T66" s="28"/>
      <c r="U66" s="130"/>
      <c r="V66" s="27"/>
      <c r="W66" s="27"/>
      <c r="Z66" s="27"/>
      <c r="AA66" s="27"/>
      <c r="AB66" s="27"/>
      <c r="AC66" s="27"/>
      <c r="AD66" s="27"/>
      <c r="AE66" s="130"/>
      <c r="AF66" s="27"/>
      <c r="AG66" s="163">
        <v>28</v>
      </c>
      <c r="AH66" s="164">
        <v>1.12053797711953E-4</v>
      </c>
      <c r="AI66" s="164">
        <v>2.5065888857656E-4</v>
      </c>
      <c r="AJ66" s="35"/>
      <c r="AK66" s="163">
        <v>28</v>
      </c>
      <c r="AL66" s="164">
        <v>1.12053797711953E-4</v>
      </c>
      <c r="AM66" s="164">
        <v>2.5065888857656E-4</v>
      </c>
      <c r="AN66" s="35"/>
      <c r="AO66" s="163">
        <v>28</v>
      </c>
      <c r="AP66" s="164">
        <v>1.12053797711953E-4</v>
      </c>
      <c r="AQ66" s="164">
        <v>2.5065888857656E-4</v>
      </c>
      <c r="AR66" s="28"/>
      <c r="AT66" s="130"/>
      <c r="AW66" s="27"/>
    </row>
    <row r="67" spans="1:49" s="1" customFormat="1">
      <c r="A67" s="42"/>
      <c r="B67" s="24">
        <v>61</v>
      </c>
      <c r="C67" s="25">
        <v>1.32919742099979E-3</v>
      </c>
      <c r="D67" s="25">
        <v>1.7037546016004401E-3</v>
      </c>
      <c r="F67" s="27"/>
      <c r="G67" s="130"/>
      <c r="H67" s="28"/>
      <c r="I67" s="24">
        <v>6</v>
      </c>
      <c r="J67" s="25">
        <v>1.266536878334888E-5</v>
      </c>
      <c r="K67" s="25">
        <v>6.087774423928496E-5</v>
      </c>
      <c r="M67" s="24">
        <v>6</v>
      </c>
      <c r="N67" s="25">
        <v>1.266536878334888E-5</v>
      </c>
      <c r="O67" s="25">
        <v>6.087774423928496E-5</v>
      </c>
      <c r="Q67" s="24">
        <v>6</v>
      </c>
      <c r="R67" s="25">
        <v>1.266536878334888E-5</v>
      </c>
      <c r="S67" s="25">
        <v>6.087774423928496E-5</v>
      </c>
      <c r="T67" s="28"/>
      <c r="U67" s="130"/>
      <c r="V67" s="27"/>
      <c r="W67" s="27"/>
      <c r="Z67" s="27"/>
      <c r="AA67" s="27"/>
      <c r="AB67" s="27"/>
      <c r="AC67" s="27"/>
      <c r="AD67" s="27"/>
      <c r="AE67" s="130"/>
      <c r="AF67" s="27"/>
      <c r="AG67" s="163">
        <v>29</v>
      </c>
      <c r="AH67" s="164">
        <v>1.11871411730746E-4</v>
      </c>
      <c r="AI67" s="164">
        <v>2.5008242939084102E-4</v>
      </c>
      <c r="AJ67" s="35"/>
      <c r="AK67" s="163">
        <v>29</v>
      </c>
      <c r="AL67" s="164">
        <v>1.11871411730746E-4</v>
      </c>
      <c r="AM67" s="164">
        <v>2.5008242939084102E-4</v>
      </c>
      <c r="AN67" s="35"/>
      <c r="AO67" s="163">
        <v>29</v>
      </c>
      <c r="AP67" s="164">
        <v>1.11871411730746E-4</v>
      </c>
      <c r="AQ67" s="164">
        <v>2.5008242939084102E-4</v>
      </c>
      <c r="AR67" s="28"/>
      <c r="AT67" s="130"/>
      <c r="AW67" s="27"/>
    </row>
    <row r="68" spans="1:49" s="1" customFormat="1">
      <c r="A68" s="42"/>
      <c r="B68" s="24">
        <v>62</v>
      </c>
      <c r="C68" s="25">
        <v>1.3253050656632001E-3</v>
      </c>
      <c r="D68" s="25">
        <v>1.68085175776489E-3</v>
      </c>
      <c r="F68" s="27"/>
      <c r="G68" s="130"/>
      <c r="H68" s="28"/>
      <c r="I68" s="24">
        <v>7</v>
      </c>
      <c r="J68" s="25">
        <v>1.266247921885008E-5</v>
      </c>
      <c r="K68" s="25">
        <v>6.0835514505352964E-5</v>
      </c>
      <c r="M68" s="24">
        <v>7</v>
      </c>
      <c r="N68" s="25">
        <v>1.266247921885008E-5</v>
      </c>
      <c r="O68" s="25">
        <v>6.0835514505352964E-5</v>
      </c>
      <c r="Q68" s="24">
        <v>7</v>
      </c>
      <c r="R68" s="25">
        <v>1.266247921885008E-5</v>
      </c>
      <c r="S68" s="25">
        <v>6.0835514505352964E-5</v>
      </c>
      <c r="T68" s="28"/>
      <c r="U68" s="130"/>
      <c r="V68" s="27"/>
      <c r="W68" s="27"/>
      <c r="X68" s="27"/>
      <c r="Y68" s="27"/>
      <c r="Z68" s="27"/>
      <c r="AA68" s="27"/>
      <c r="AB68" s="27"/>
      <c r="AC68" s="27"/>
      <c r="AD68" s="27"/>
      <c r="AE68" s="130"/>
      <c r="AF68" s="27"/>
      <c r="AG68" s="163">
        <v>30</v>
      </c>
      <c r="AH68" s="164">
        <v>1.4020396257019601E-4</v>
      </c>
      <c r="AI68" s="164">
        <v>3.3548087635082397E-4</v>
      </c>
      <c r="AJ68" s="35"/>
      <c r="AK68" s="163">
        <v>30</v>
      </c>
      <c r="AL68" s="164">
        <v>1.4020396257019601E-4</v>
      </c>
      <c r="AM68" s="164">
        <v>3.3548087635082397E-4</v>
      </c>
      <c r="AN68" s="35"/>
      <c r="AO68" s="163">
        <v>30</v>
      </c>
      <c r="AP68" s="164">
        <v>1.4020396257019601E-4</v>
      </c>
      <c r="AQ68" s="164">
        <v>3.3548087635082397E-4</v>
      </c>
      <c r="AR68" s="28"/>
      <c r="AT68" s="130"/>
      <c r="AW68" s="27"/>
    </row>
    <row r="69" spans="1:49" s="1" customFormat="1">
      <c r="A69" s="42"/>
      <c r="B69" s="24">
        <v>63</v>
      </c>
      <c r="C69" s="25">
        <v>1.32148096576523E-3</v>
      </c>
      <c r="D69" s="25">
        <v>1.65904212404144E-3</v>
      </c>
      <c r="F69" s="27"/>
      <c r="G69" s="130"/>
      <c r="H69" s="28"/>
      <c r="I69" s="24">
        <v>8</v>
      </c>
      <c r="J69" s="25">
        <v>1.265959066607536E-5</v>
      </c>
      <c r="K69" s="25">
        <v>6.0793334063724558E-5</v>
      </c>
      <c r="M69" s="24">
        <v>8</v>
      </c>
      <c r="N69" s="25">
        <v>1.265959066607536E-5</v>
      </c>
      <c r="O69" s="25">
        <v>6.0793334063724558E-5</v>
      </c>
      <c r="Q69" s="24">
        <v>8</v>
      </c>
      <c r="R69" s="25">
        <v>1.265959066607536E-5</v>
      </c>
      <c r="S69" s="25">
        <v>6.0793334063724558E-5</v>
      </c>
      <c r="T69" s="28"/>
      <c r="U69" s="130"/>
      <c r="V69" s="27"/>
      <c r="W69" s="27"/>
      <c r="X69" s="64"/>
      <c r="Y69" s="65"/>
      <c r="Z69" s="27"/>
      <c r="AA69" s="27"/>
      <c r="AB69" s="27"/>
      <c r="AC69" s="27"/>
      <c r="AD69" s="27"/>
      <c r="AE69" s="130"/>
      <c r="AF69" s="27"/>
      <c r="AG69" s="163">
        <v>31</v>
      </c>
      <c r="AH69" s="164">
        <v>1.3991811133673399E-4</v>
      </c>
      <c r="AI69" s="164">
        <v>3.3444804846605202E-4</v>
      </c>
      <c r="AJ69" s="35"/>
      <c r="AK69" s="163">
        <v>31</v>
      </c>
      <c r="AL69" s="164">
        <v>1.3991811133673399E-4</v>
      </c>
      <c r="AM69" s="164">
        <v>3.3444804846605202E-4</v>
      </c>
      <c r="AN69" s="35"/>
      <c r="AO69" s="163">
        <v>31</v>
      </c>
      <c r="AP69" s="164">
        <v>1.3991811133673399E-4</v>
      </c>
      <c r="AQ69" s="164">
        <v>3.3444804846605202E-4</v>
      </c>
      <c r="AR69" s="28"/>
      <c r="AT69" s="130"/>
      <c r="AW69" s="27"/>
    </row>
    <row r="70" spans="1:49" s="1" customFormat="1">
      <c r="A70" s="42"/>
      <c r="B70" s="24">
        <v>64</v>
      </c>
      <c r="C70" s="25">
        <v>1.31772413891307E-3</v>
      </c>
      <c r="D70" s="25">
        <v>1.6382844325139E-3</v>
      </c>
      <c r="F70" s="27"/>
      <c r="G70" s="130"/>
      <c r="H70" s="28"/>
      <c r="I70" s="24">
        <v>9</v>
      </c>
      <c r="J70" s="25">
        <v>1.2656703124847041E-5</v>
      </c>
      <c r="K70" s="25">
        <v>6.0751202910314088E-5</v>
      </c>
      <c r="M70" s="24">
        <v>9</v>
      </c>
      <c r="N70" s="25">
        <v>1.2656703124847041E-5</v>
      </c>
      <c r="O70" s="25">
        <v>6.0751202910314088E-5</v>
      </c>
      <c r="Q70" s="24">
        <v>9</v>
      </c>
      <c r="R70" s="25">
        <v>1.2656703124847041E-5</v>
      </c>
      <c r="S70" s="25">
        <v>6.0751202910314088E-5</v>
      </c>
      <c r="T70" s="28"/>
      <c r="U70" s="130"/>
      <c r="V70" s="27"/>
      <c r="AE70" s="130"/>
      <c r="AF70" s="27"/>
      <c r="AG70" s="163">
        <v>32</v>
      </c>
      <c r="AH70" s="164">
        <v>1.39633186980181E-4</v>
      </c>
      <c r="AI70" s="164">
        <v>3.3342103634481602E-4</v>
      </c>
      <c r="AJ70" s="35"/>
      <c r="AK70" s="163">
        <v>32</v>
      </c>
      <c r="AL70" s="164">
        <v>1.39633186980181E-4</v>
      </c>
      <c r="AM70" s="164">
        <v>3.3342103634481602E-4</v>
      </c>
      <c r="AN70" s="35"/>
      <c r="AO70" s="163">
        <v>32</v>
      </c>
      <c r="AP70" s="164">
        <v>1.39633186980181E-4</v>
      </c>
      <c r="AQ70" s="164">
        <v>3.3342103634481602E-4</v>
      </c>
      <c r="AR70" s="28"/>
      <c r="AT70" s="130"/>
      <c r="AW70" s="27"/>
    </row>
    <row r="71" spans="1:49" s="1" customFormat="1">
      <c r="A71" s="42"/>
      <c r="B71" s="24">
        <v>65</v>
      </c>
      <c r="C71" s="25">
        <v>2.0791819905906501E-3</v>
      </c>
      <c r="D71" s="25">
        <v>2.5901585199874502E-3</v>
      </c>
      <c r="F71" s="27"/>
      <c r="G71" s="130"/>
      <c r="H71" s="28"/>
      <c r="I71" s="24">
        <v>10</v>
      </c>
      <c r="J71" s="25">
        <v>2.0167595806608323E-5</v>
      </c>
      <c r="K71" s="25">
        <v>6.5859977245175116E-5</v>
      </c>
      <c r="M71" s="24">
        <v>10</v>
      </c>
      <c r="N71" s="25">
        <v>2.0167595806608323E-5</v>
      </c>
      <c r="O71" s="25">
        <v>6.5859977245175116E-5</v>
      </c>
      <c r="Q71" s="24">
        <v>10</v>
      </c>
      <c r="R71" s="25">
        <v>2.0167595806608323E-5</v>
      </c>
      <c r="S71" s="25">
        <v>6.5859977245175116E-5</v>
      </c>
      <c r="T71" s="28"/>
      <c r="U71" s="130"/>
      <c r="V71" s="27"/>
      <c r="AE71" s="130"/>
      <c r="AF71" s="27"/>
      <c r="AG71" s="163">
        <v>33</v>
      </c>
      <c r="AH71" s="164">
        <v>1.3934918807101399E-4</v>
      </c>
      <c r="AI71" s="164">
        <v>3.3239983242461197E-4</v>
      </c>
      <c r="AJ71" s="35"/>
      <c r="AK71" s="163">
        <v>33</v>
      </c>
      <c r="AL71" s="164">
        <v>1.3934918807101399E-4</v>
      </c>
      <c r="AM71" s="164">
        <v>3.3239983242461197E-4</v>
      </c>
      <c r="AN71" s="35"/>
      <c r="AO71" s="163">
        <v>33</v>
      </c>
      <c r="AP71" s="164">
        <v>1.3934918807101399E-4</v>
      </c>
      <c r="AQ71" s="164">
        <v>3.3239983242461197E-4</v>
      </c>
      <c r="AR71" s="28"/>
      <c r="AT71" s="130"/>
      <c r="AW71" s="27"/>
    </row>
    <row r="72" spans="1:49" s="1" customFormat="1">
      <c r="A72" s="42"/>
      <c r="B72" s="24">
        <v>66</v>
      </c>
      <c r="C72" s="25">
        <v>2.0701853045065298E-3</v>
      </c>
      <c r="D72" s="25">
        <v>2.5431869795353701E-3</v>
      </c>
      <c r="F72" s="27"/>
      <c r="G72" s="130"/>
      <c r="H72" s="28"/>
      <c r="I72" s="24">
        <v>11</v>
      </c>
      <c r="J72" s="25">
        <v>2.0160266591595679E-5</v>
      </c>
      <c r="K72" s="25">
        <v>6.5810511593600323E-5</v>
      </c>
      <c r="M72" s="24">
        <v>11</v>
      </c>
      <c r="N72" s="25">
        <v>2.0160266591595679E-5</v>
      </c>
      <c r="O72" s="25">
        <v>6.5810511593600323E-5</v>
      </c>
      <c r="Q72" s="24">
        <v>11</v>
      </c>
      <c r="R72" s="25">
        <v>2.0160266591595679E-5</v>
      </c>
      <c r="S72" s="25">
        <v>6.5810511593600323E-5</v>
      </c>
      <c r="T72" s="28"/>
      <c r="U72" s="130"/>
      <c r="V72" s="27"/>
      <c r="AE72" s="130"/>
      <c r="AF72" s="27"/>
      <c r="AG72" s="163">
        <v>34</v>
      </c>
      <c r="AH72" s="164">
        <v>1.3906611316771801E-4</v>
      </c>
      <c r="AI72" s="164">
        <v>3.31384428758574E-4</v>
      </c>
      <c r="AJ72" s="35"/>
      <c r="AK72" s="163">
        <v>34</v>
      </c>
      <c r="AL72" s="164">
        <v>1.3906611316771801E-4</v>
      </c>
      <c r="AM72" s="164">
        <v>3.31384428758574E-4</v>
      </c>
      <c r="AN72" s="35"/>
      <c r="AO72" s="163">
        <v>34</v>
      </c>
      <c r="AP72" s="164">
        <v>1.3906611316771801E-4</v>
      </c>
      <c r="AQ72" s="164">
        <v>3.31384428758574E-4</v>
      </c>
      <c r="AR72" s="28"/>
      <c r="AT72" s="130"/>
      <c r="AW72" s="27"/>
    </row>
    <row r="73" spans="1:49" s="1" customFormat="1">
      <c r="A73" s="42"/>
      <c r="B73" s="24">
        <v>67</v>
      </c>
      <c r="C73" s="25">
        <v>2.06144083795001E-3</v>
      </c>
      <c r="D73" s="25">
        <v>2.4999274480387301E-3</v>
      </c>
      <c r="F73" s="27"/>
      <c r="G73" s="130"/>
      <c r="H73" s="28"/>
      <c r="I73" s="24">
        <v>12</v>
      </c>
      <c r="J73" s="25">
        <v>2.0152941470552562E-5</v>
      </c>
      <c r="K73" s="25">
        <v>6.5761108857387293E-5</v>
      </c>
      <c r="M73" s="24">
        <v>12</v>
      </c>
      <c r="N73" s="25">
        <v>2.0152941470552562E-5</v>
      </c>
      <c r="O73" s="25">
        <v>6.5761108857387293E-5</v>
      </c>
      <c r="Q73" s="24">
        <v>12</v>
      </c>
      <c r="R73" s="25">
        <v>2.0152941470552562E-5</v>
      </c>
      <c r="S73" s="25">
        <v>6.5761108857387293E-5</v>
      </c>
      <c r="T73" s="28"/>
      <c r="U73" s="130"/>
      <c r="V73" s="27"/>
      <c r="AE73" s="130"/>
      <c r="AF73" s="27"/>
      <c r="AG73" s="163">
        <v>35</v>
      </c>
      <c r="AH73" s="164">
        <v>1.8800726648715601E-4</v>
      </c>
      <c r="AI73" s="164">
        <v>4.5701812235865398E-4</v>
      </c>
      <c r="AJ73" s="35"/>
      <c r="AK73" s="163">
        <v>35</v>
      </c>
      <c r="AL73" s="164">
        <v>1.8800726648715601E-4</v>
      </c>
      <c r="AM73" s="164">
        <v>4.5701812235865398E-4</v>
      </c>
      <c r="AN73" s="35"/>
      <c r="AO73" s="163">
        <v>35</v>
      </c>
      <c r="AP73" s="164">
        <v>1.8800726648715601E-4</v>
      </c>
      <c r="AQ73" s="164">
        <v>4.5701812235865398E-4</v>
      </c>
      <c r="AR73" s="28"/>
      <c r="AT73" s="130"/>
      <c r="AW73" s="27"/>
    </row>
    <row r="74" spans="1:49" s="1" customFormat="1">
      <c r="A74" s="42"/>
      <c r="B74" s="24">
        <v>68</v>
      </c>
      <c r="C74" s="25">
        <v>2.0529425360039698E-3</v>
      </c>
      <c r="D74" s="25">
        <v>2.4601282279680401E-3</v>
      </c>
      <c r="F74" s="27"/>
      <c r="G74" s="130"/>
      <c r="H74" s="28"/>
      <c r="I74" s="24">
        <v>13</v>
      </c>
      <c r="J74" s="25">
        <v>2.0145620442502162E-5</v>
      </c>
      <c r="K74" s="25">
        <v>6.5711769029785919E-5</v>
      </c>
      <c r="M74" s="24">
        <v>13</v>
      </c>
      <c r="N74" s="25">
        <v>2.0145620442502162E-5</v>
      </c>
      <c r="O74" s="25">
        <v>6.5711769029785919E-5</v>
      </c>
      <c r="Q74" s="24">
        <v>13</v>
      </c>
      <c r="R74" s="25">
        <v>2.0145620442502162E-5</v>
      </c>
      <c r="S74" s="25">
        <v>6.5711769029785919E-5</v>
      </c>
      <c r="T74" s="28"/>
      <c r="U74" s="130"/>
      <c r="V74" s="27"/>
      <c r="AE74" s="130"/>
      <c r="AF74" s="27"/>
      <c r="AG74" s="163">
        <v>36</v>
      </c>
      <c r="AH74" s="164">
        <v>1.8749139396967399E-4</v>
      </c>
      <c r="AI74" s="164">
        <v>4.5509919162956003E-4</v>
      </c>
      <c r="AJ74" s="35"/>
      <c r="AK74" s="163">
        <v>36</v>
      </c>
      <c r="AL74" s="164">
        <v>1.8749139396967399E-4</v>
      </c>
      <c r="AM74" s="164">
        <v>4.5509919162956003E-4</v>
      </c>
      <c r="AN74" s="35"/>
      <c r="AO74" s="163">
        <v>36</v>
      </c>
      <c r="AP74" s="164">
        <v>1.8749139396967399E-4</v>
      </c>
      <c r="AQ74" s="164">
        <v>4.5509919162956003E-4</v>
      </c>
      <c r="AR74" s="28"/>
      <c r="AT74" s="130"/>
      <c r="AW74" s="27"/>
    </row>
    <row r="75" spans="1:49" s="1" customFormat="1">
      <c r="A75" s="42"/>
      <c r="B75" s="24">
        <v>69</v>
      </c>
      <c r="C75" s="25">
        <v>2.04468439818462E-3</v>
      </c>
      <c r="D75" s="25">
        <v>2.4235477511319599E-3</v>
      </c>
      <c r="F75" s="27"/>
      <c r="G75" s="130"/>
      <c r="H75" s="28"/>
      <c r="I75" s="24">
        <v>14</v>
      </c>
      <c r="J75" s="25">
        <v>2.0138303506556082E-5</v>
      </c>
      <c r="K75" s="25">
        <v>6.5662492103513113E-5</v>
      </c>
      <c r="M75" s="24">
        <v>14</v>
      </c>
      <c r="N75" s="25">
        <v>2.0138303506556082E-5</v>
      </c>
      <c r="O75" s="25">
        <v>6.5662492103513113E-5</v>
      </c>
      <c r="Q75" s="24">
        <v>14</v>
      </c>
      <c r="R75" s="25">
        <v>2.0138303506556082E-5</v>
      </c>
      <c r="S75" s="25">
        <v>6.5662492103513113E-5</v>
      </c>
      <c r="T75" s="28"/>
      <c r="U75" s="130"/>
      <c r="V75" s="27"/>
      <c r="AE75" s="130"/>
      <c r="AF75" s="27"/>
      <c r="AG75" s="163">
        <v>37</v>
      </c>
      <c r="AH75" s="164">
        <v>1.8697780811505199E-4</v>
      </c>
      <c r="AI75" s="164">
        <v>4.5319555838707598E-4</v>
      </c>
      <c r="AJ75" s="35"/>
      <c r="AK75" s="163">
        <v>37</v>
      </c>
      <c r="AL75" s="164">
        <v>1.8697780811505199E-4</v>
      </c>
      <c r="AM75" s="164">
        <v>4.5319555838707598E-4</v>
      </c>
      <c r="AN75" s="35"/>
      <c r="AO75" s="163">
        <v>37</v>
      </c>
      <c r="AP75" s="164">
        <v>1.8697780811505199E-4</v>
      </c>
      <c r="AQ75" s="164">
        <v>4.5319555838707598E-4</v>
      </c>
      <c r="AR75" s="28"/>
      <c r="AT75" s="130"/>
      <c r="AW75" s="27"/>
    </row>
    <row r="76" spans="1:49" s="1" customFormat="1">
      <c r="A76" s="42"/>
      <c r="B76" s="24">
        <v>70</v>
      </c>
      <c r="C76" s="25">
        <v>3.1732554716498202E-3</v>
      </c>
      <c r="D76" s="25">
        <v>3.78483231922544E-3</v>
      </c>
      <c r="F76" s="27"/>
      <c r="G76" s="130"/>
      <c r="H76" s="28"/>
      <c r="I76" s="24">
        <v>15</v>
      </c>
      <c r="J76" s="25">
        <v>5.3828417844936643E-5</v>
      </c>
      <c r="K76" s="25">
        <v>1.207527517808064E-4</v>
      </c>
      <c r="M76" s="24">
        <v>15</v>
      </c>
      <c r="N76" s="25">
        <v>5.3828417844936643E-5</v>
      </c>
      <c r="O76" s="25">
        <v>1.207527517808064E-4</v>
      </c>
      <c r="Q76" s="24">
        <v>15</v>
      </c>
      <c r="R76" s="25">
        <v>5.3828417844936643E-5</v>
      </c>
      <c r="S76" s="25">
        <v>1.207527517808064E-4</v>
      </c>
      <c r="T76" s="28"/>
      <c r="U76" s="130"/>
      <c r="V76" s="27"/>
      <c r="AE76" s="130"/>
      <c r="AF76" s="27"/>
      <c r="AG76" s="163">
        <v>38</v>
      </c>
      <c r="AH76" s="164">
        <v>1.8646650387632601E-4</v>
      </c>
      <c r="AI76" s="164">
        <v>4.5130718702635102E-4</v>
      </c>
      <c r="AJ76" s="35"/>
      <c r="AK76" s="163">
        <v>38</v>
      </c>
      <c r="AL76" s="164">
        <v>1.8646650387632601E-4</v>
      </c>
      <c r="AM76" s="164">
        <v>4.5130718702635102E-4</v>
      </c>
      <c r="AN76" s="35"/>
      <c r="AO76" s="163">
        <v>38</v>
      </c>
      <c r="AP76" s="164">
        <v>1.8646650387632601E-4</v>
      </c>
      <c r="AQ76" s="164">
        <v>4.5130718702635102E-4</v>
      </c>
      <c r="AR76" s="28"/>
      <c r="AT76" s="130"/>
      <c r="AW76" s="27"/>
    </row>
    <row r="77" spans="1:49" s="1" customFormat="1">
      <c r="A77" s="42"/>
      <c r="B77" s="24">
        <v>71</v>
      </c>
      <c r="C77" s="25">
        <v>3.1545938525220402E-3</v>
      </c>
      <c r="D77" s="25">
        <v>3.7107525745043702E-3</v>
      </c>
      <c r="F77" s="27"/>
      <c r="G77" s="130"/>
      <c r="H77" s="28"/>
      <c r="I77" s="24">
        <v>16</v>
      </c>
      <c r="J77" s="25">
        <v>5.3776179026510089E-5</v>
      </c>
      <c r="K77" s="25">
        <v>1.2058635288401121E-4</v>
      </c>
      <c r="M77" s="24">
        <v>16</v>
      </c>
      <c r="N77" s="25">
        <v>5.3776179026510089E-5</v>
      </c>
      <c r="O77" s="25">
        <v>1.2058635288401121E-4</v>
      </c>
      <c r="Q77" s="24">
        <v>16</v>
      </c>
      <c r="R77" s="25">
        <v>5.3776179026510089E-5</v>
      </c>
      <c r="S77" s="25">
        <v>1.2058635288401121E-4</v>
      </c>
      <c r="T77" s="28"/>
      <c r="U77" s="130"/>
      <c r="V77" s="27"/>
      <c r="AE77" s="130"/>
      <c r="AF77" s="27"/>
      <c r="AG77" s="163">
        <v>39</v>
      </c>
      <c r="AH77" s="164">
        <v>1.85957476155019E-4</v>
      </c>
      <c r="AI77" s="164">
        <v>4.49434040151186E-4</v>
      </c>
      <c r="AJ77" s="35"/>
      <c r="AK77" s="163">
        <v>39</v>
      </c>
      <c r="AL77" s="164">
        <v>1.85957476155019E-4</v>
      </c>
      <c r="AM77" s="164">
        <v>4.49434040151186E-4</v>
      </c>
      <c r="AN77" s="35"/>
      <c r="AO77" s="163">
        <v>39</v>
      </c>
      <c r="AP77" s="164">
        <v>1.85957476155019E-4</v>
      </c>
      <c r="AQ77" s="164">
        <v>4.49434040151186E-4</v>
      </c>
      <c r="AR77" s="28"/>
      <c r="AT77" s="130"/>
      <c r="AW77" s="27"/>
    </row>
    <row r="78" spans="1:49" s="1" customFormat="1">
      <c r="A78" s="42"/>
      <c r="B78" s="24">
        <v>72</v>
      </c>
      <c r="C78" s="25">
        <v>3.1367588584849701E-3</v>
      </c>
      <c r="D78" s="25">
        <v>3.6462831550481099E-3</v>
      </c>
      <c r="F78" s="27"/>
      <c r="G78" s="130"/>
      <c r="H78" s="28"/>
      <c r="I78" s="24">
        <v>17</v>
      </c>
      <c r="J78" s="25">
        <v>5.3724018407308483E-5</v>
      </c>
      <c r="K78" s="25">
        <v>1.2042034622741202E-4</v>
      </c>
      <c r="M78" s="24">
        <v>17</v>
      </c>
      <c r="N78" s="25">
        <v>5.3724018407308483E-5</v>
      </c>
      <c r="O78" s="25">
        <v>1.2042034622741202E-4</v>
      </c>
      <c r="Q78" s="24">
        <v>17</v>
      </c>
      <c r="R78" s="25">
        <v>5.3724018407308483E-5</v>
      </c>
      <c r="S78" s="25">
        <v>1.2042034622741202E-4</v>
      </c>
      <c r="T78" s="28"/>
      <c r="U78" s="130"/>
      <c r="V78" s="27"/>
      <c r="AE78" s="130"/>
      <c r="AF78" s="27"/>
      <c r="AG78" s="163">
        <v>40</v>
      </c>
      <c r="AH78" s="164">
        <v>2.5498466120910102E-4</v>
      </c>
      <c r="AI78" s="164">
        <v>6.4338401109953502E-4</v>
      </c>
      <c r="AJ78" s="35"/>
      <c r="AK78" s="163">
        <v>40</v>
      </c>
      <c r="AL78" s="164">
        <v>2.5498466120910102E-4</v>
      </c>
      <c r="AM78" s="164">
        <v>6.4338401109953502E-4</v>
      </c>
      <c r="AN78" s="35"/>
      <c r="AO78" s="163">
        <v>40</v>
      </c>
      <c r="AP78" s="164">
        <v>2.5498466120910102E-4</v>
      </c>
      <c r="AQ78" s="164">
        <v>6.4338401109953502E-4</v>
      </c>
      <c r="AR78" s="28"/>
      <c r="AT78" s="130"/>
      <c r="AW78" s="27"/>
    </row>
    <row r="79" spans="1:49" s="1" customFormat="1">
      <c r="A79" s="42"/>
      <c r="B79" s="24">
        <v>73</v>
      </c>
      <c r="C79" s="25">
        <v>3.1197171492884901E-3</v>
      </c>
      <c r="D79" s="25">
        <v>3.59026528244522E-3</v>
      </c>
      <c r="F79" s="27"/>
      <c r="G79" s="130"/>
      <c r="H79" s="28"/>
      <c r="I79" s="24">
        <v>18</v>
      </c>
      <c r="J79" s="25">
        <v>5.3671935937149595E-5</v>
      </c>
      <c r="K79" s="25">
        <v>1.2025473171126641E-4</v>
      </c>
      <c r="M79" s="24">
        <v>18</v>
      </c>
      <c r="N79" s="25">
        <v>5.3671935937149595E-5</v>
      </c>
      <c r="O79" s="25">
        <v>1.2025473171126641E-4</v>
      </c>
      <c r="Q79" s="24">
        <v>18</v>
      </c>
      <c r="R79" s="25">
        <v>5.3671935937149595E-5</v>
      </c>
      <c r="S79" s="25">
        <v>1.2025473171126641E-4</v>
      </c>
      <c r="T79" s="28"/>
      <c r="U79" s="130"/>
      <c r="V79" s="27"/>
      <c r="AE79" s="130"/>
      <c r="AG79" s="163">
        <v>41</v>
      </c>
      <c r="AH79" s="164">
        <v>2.5403156621817098E-4</v>
      </c>
      <c r="AI79" s="164">
        <v>6.3958290186294498E-4</v>
      </c>
      <c r="AJ79" s="35"/>
      <c r="AK79" s="163">
        <v>41</v>
      </c>
      <c r="AL79" s="164">
        <v>2.5403156621817098E-4</v>
      </c>
      <c r="AM79" s="164">
        <v>6.3958290186294498E-4</v>
      </c>
      <c r="AN79" s="35"/>
      <c r="AO79" s="163">
        <v>41</v>
      </c>
      <c r="AP79" s="164">
        <v>2.5403156621817098E-4</v>
      </c>
      <c r="AQ79" s="164">
        <v>6.3958290186294498E-4</v>
      </c>
      <c r="AR79" s="28"/>
      <c r="AT79" s="130"/>
      <c r="AW79" s="27"/>
    </row>
    <row r="80" spans="1:49" s="1" customFormat="1">
      <c r="A80" s="42"/>
      <c r="B80" s="24">
        <v>74</v>
      </c>
      <c r="C80" s="25">
        <v>3.1034361886044201E-3</v>
      </c>
      <c r="D80" s="25">
        <v>3.5416573361718401E-3</v>
      </c>
      <c r="F80" s="27"/>
      <c r="G80" s="130"/>
      <c r="H80" s="28"/>
      <c r="I80" s="24">
        <v>19</v>
      </c>
      <c r="J80" s="25">
        <v>5.361993156531856E-5</v>
      </c>
      <c r="K80" s="25">
        <v>1.2008950923050322E-4</v>
      </c>
      <c r="M80" s="24">
        <v>19</v>
      </c>
      <c r="N80" s="25">
        <v>5.361993156531856E-5</v>
      </c>
      <c r="O80" s="25">
        <v>1.2008950923050322E-4</v>
      </c>
      <c r="Q80" s="24">
        <v>19</v>
      </c>
      <c r="R80" s="25">
        <v>5.361993156531856E-5</v>
      </c>
      <c r="S80" s="25">
        <v>1.2008950923050322E-4</v>
      </c>
      <c r="T80" s="28"/>
      <c r="U80" s="130"/>
      <c r="V80" s="27"/>
      <c r="AE80" s="130"/>
      <c r="AG80" s="163">
        <v>42</v>
      </c>
      <c r="AH80" s="164">
        <v>2.5308434925708201E-4</v>
      </c>
      <c r="AI80" s="164">
        <v>6.3582668626926996E-4</v>
      </c>
      <c r="AJ80" s="35"/>
      <c r="AK80" s="163">
        <v>42</v>
      </c>
      <c r="AL80" s="164">
        <v>2.5308434925708201E-4</v>
      </c>
      <c r="AM80" s="164">
        <v>6.3582668626926996E-4</v>
      </c>
      <c r="AN80" s="35"/>
      <c r="AO80" s="163">
        <v>42</v>
      </c>
      <c r="AP80" s="164">
        <v>2.5308434925708201E-4</v>
      </c>
      <c r="AQ80" s="164">
        <v>6.3582668626926996E-4</v>
      </c>
      <c r="AR80" s="28"/>
      <c r="AT80" s="130"/>
      <c r="AW80" s="27"/>
    </row>
    <row r="81" spans="1:49" s="1" customFormat="1">
      <c r="A81" s="42"/>
      <c r="B81" s="24">
        <v>75</v>
      </c>
      <c r="C81" s="25">
        <v>4.6987562696929599E-3</v>
      </c>
      <c r="D81" s="25">
        <v>5.4585487645655304E-3</v>
      </c>
      <c r="F81" s="27"/>
      <c r="G81" s="130"/>
      <c r="H81" s="28"/>
      <c r="I81" s="24">
        <v>20</v>
      </c>
      <c r="J81" s="25">
        <v>8.0553000279781595E-5</v>
      </c>
      <c r="K81" s="25">
        <v>1.6620973158127921E-4</v>
      </c>
      <c r="M81" s="24">
        <v>20</v>
      </c>
      <c r="N81" s="25">
        <v>8.0553000279781595E-5</v>
      </c>
      <c r="O81" s="25">
        <v>1.6620973158127921E-4</v>
      </c>
      <c r="Q81" s="24">
        <v>20</v>
      </c>
      <c r="R81" s="25">
        <v>8.0553000279781595E-5</v>
      </c>
      <c r="S81" s="25">
        <v>1.6620973158127921E-4</v>
      </c>
      <c r="T81" s="28"/>
      <c r="U81" s="130"/>
      <c r="V81" s="27"/>
      <c r="AE81" s="130"/>
      <c r="AG81" s="163">
        <v>43</v>
      </c>
      <c r="AH81" s="164">
        <v>2.5214299123221801E-4</v>
      </c>
      <c r="AI81" s="164">
        <v>6.3211516908412402E-4</v>
      </c>
      <c r="AJ81" s="35"/>
      <c r="AK81" s="163">
        <v>43</v>
      </c>
      <c r="AL81" s="164">
        <v>2.5214299123221801E-4</v>
      </c>
      <c r="AM81" s="164">
        <v>6.3211516908412402E-4</v>
      </c>
      <c r="AN81" s="35"/>
      <c r="AO81" s="163">
        <v>43</v>
      </c>
      <c r="AP81" s="164">
        <v>2.5214299123221801E-4</v>
      </c>
      <c r="AQ81" s="164">
        <v>6.3211516908412402E-4</v>
      </c>
      <c r="AR81" s="28"/>
      <c r="AT81" s="130"/>
      <c r="AW81" s="27"/>
    </row>
    <row r="82" spans="1:49" s="1" customFormat="1">
      <c r="A82" s="42"/>
      <c r="B82" s="24">
        <v>76</v>
      </c>
      <c r="C82" s="25">
        <v>4.6650902675176003E-3</v>
      </c>
      <c r="D82" s="25">
        <v>5.3760932487368898E-3</v>
      </c>
      <c r="F82" s="27"/>
      <c r="G82" s="130"/>
      <c r="H82" s="28"/>
      <c r="I82" s="24">
        <v>21</v>
      </c>
      <c r="J82" s="25">
        <v>8.0435788848198404E-5</v>
      </c>
      <c r="K82" s="25">
        <v>1.6589399107767042E-4</v>
      </c>
      <c r="M82" s="24">
        <v>21</v>
      </c>
      <c r="N82" s="25">
        <v>8.0435788848198404E-5</v>
      </c>
      <c r="O82" s="25">
        <v>1.6589399107767042E-4</v>
      </c>
      <c r="Q82" s="24">
        <v>21</v>
      </c>
      <c r="R82" s="25">
        <v>8.0435788848198404E-5</v>
      </c>
      <c r="S82" s="25">
        <v>1.6589399107767042E-4</v>
      </c>
      <c r="T82" s="28"/>
      <c r="U82" s="130"/>
      <c r="V82" s="27"/>
      <c r="AE82" s="130"/>
      <c r="AG82" s="163">
        <v>44</v>
      </c>
      <c r="AH82" s="164">
        <v>2.5120747281892598E-4</v>
      </c>
      <c r="AI82" s="164">
        <v>6.2844814543827599E-4</v>
      </c>
      <c r="AJ82" s="35"/>
      <c r="AK82" s="163">
        <v>44</v>
      </c>
      <c r="AL82" s="164">
        <v>2.5120747281892598E-4</v>
      </c>
      <c r="AM82" s="164">
        <v>6.2844814543827599E-4</v>
      </c>
      <c r="AN82" s="35"/>
      <c r="AO82" s="163">
        <v>44</v>
      </c>
      <c r="AP82" s="164">
        <v>2.5120747281892598E-4</v>
      </c>
      <c r="AQ82" s="164">
        <v>6.2844814543827599E-4</v>
      </c>
      <c r="AR82" s="28"/>
      <c r="AT82" s="130"/>
      <c r="AW82" s="27"/>
    </row>
    <row r="83" spans="1:49" s="1" customFormat="1">
      <c r="A83" s="42"/>
      <c r="B83" s="24">
        <v>77</v>
      </c>
      <c r="C83" s="25">
        <v>4.6337094049820901E-3</v>
      </c>
      <c r="D83" s="25">
        <v>5.3104473252334498E-3</v>
      </c>
      <c r="F83" s="27"/>
      <c r="G83" s="130"/>
      <c r="H83" s="28"/>
      <c r="I83" s="24">
        <v>22</v>
      </c>
      <c r="J83" s="25">
        <v>8.0318842520732812E-5</v>
      </c>
      <c r="K83" s="25">
        <v>1.6557929395721841E-4</v>
      </c>
      <c r="M83" s="24">
        <v>22</v>
      </c>
      <c r="N83" s="25">
        <v>8.0318842520732812E-5</v>
      </c>
      <c r="O83" s="25">
        <v>1.6557929395721841E-4</v>
      </c>
      <c r="Q83" s="24">
        <v>22</v>
      </c>
      <c r="R83" s="25">
        <v>8.0318842520732812E-5</v>
      </c>
      <c r="S83" s="25">
        <v>1.6557929395721841E-4</v>
      </c>
      <c r="T83" s="28"/>
      <c r="U83" s="130"/>
      <c r="V83" s="27"/>
      <c r="AE83" s="130"/>
      <c r="AG83" s="163">
        <v>45</v>
      </c>
      <c r="AH83" s="164">
        <v>3.6698490224318402E-4</v>
      </c>
      <c r="AI83" s="164">
        <v>9.6143465338172096E-4</v>
      </c>
      <c r="AJ83" s="35"/>
      <c r="AK83" s="163">
        <v>45</v>
      </c>
      <c r="AL83" s="164">
        <v>3.6698490224318402E-4</v>
      </c>
      <c r="AM83" s="164">
        <v>9.6143465338172096E-4</v>
      </c>
      <c r="AN83" s="35"/>
      <c r="AO83" s="163">
        <v>45</v>
      </c>
      <c r="AP83" s="164">
        <v>3.6698490224318402E-4</v>
      </c>
      <c r="AQ83" s="164">
        <v>9.6143465338172096E-4</v>
      </c>
      <c r="AR83" s="28"/>
      <c r="AT83" s="130"/>
      <c r="AW83" s="27"/>
    </row>
    <row r="84" spans="1:49" s="1" customFormat="1">
      <c r="A84" s="42"/>
      <c r="B84" s="24">
        <v>78</v>
      </c>
      <c r="C84" s="25">
        <v>4.6044628528100198E-3</v>
      </c>
      <c r="D84" s="25">
        <v>5.2582687208687596E-3</v>
      </c>
      <c r="F84" s="27"/>
      <c r="G84" s="130"/>
      <c r="H84" s="28"/>
      <c r="I84" s="24">
        <v>23</v>
      </c>
      <c r="J84" s="25">
        <v>8.0202161032439203E-5</v>
      </c>
      <c r="K84" s="25">
        <v>1.6526563973409122E-4</v>
      </c>
      <c r="M84" s="24">
        <v>23</v>
      </c>
      <c r="N84" s="25">
        <v>8.0202161032439203E-5</v>
      </c>
      <c r="O84" s="25">
        <v>1.6526563973409122E-4</v>
      </c>
      <c r="Q84" s="24">
        <v>23</v>
      </c>
      <c r="R84" s="25">
        <v>8.0202161032439203E-5</v>
      </c>
      <c r="S84" s="25">
        <v>1.6526563973409122E-4</v>
      </c>
      <c r="T84" s="28"/>
      <c r="U84" s="130"/>
      <c r="V84" s="27"/>
      <c r="AE84" s="130"/>
      <c r="AG84" s="163">
        <v>46</v>
      </c>
      <c r="AH84" s="164">
        <v>3.6500084548551898E-4</v>
      </c>
      <c r="AI84" s="164">
        <v>9.5299143984550695E-4</v>
      </c>
      <c r="AJ84" s="35"/>
      <c r="AK84" s="163">
        <v>46</v>
      </c>
      <c r="AL84" s="164">
        <v>3.6500084548551898E-4</v>
      </c>
      <c r="AM84" s="164">
        <v>9.5299143984550695E-4</v>
      </c>
      <c r="AN84" s="35"/>
      <c r="AO84" s="163">
        <v>46</v>
      </c>
      <c r="AP84" s="164">
        <v>3.6500084548551898E-4</v>
      </c>
      <c r="AQ84" s="164">
        <v>9.5299143984550695E-4</v>
      </c>
      <c r="AR84" s="28"/>
      <c r="AT84" s="130"/>
      <c r="AW84" s="27"/>
    </row>
    <row r="85" spans="1:49" s="1" customFormat="1">
      <c r="A85" s="42"/>
      <c r="B85" s="24">
        <v>79</v>
      </c>
      <c r="C85" s="25">
        <v>4.5772076248350403E-3</v>
      </c>
      <c r="D85" s="25">
        <v>5.2168479744577603E-3</v>
      </c>
      <c r="F85" s="27"/>
      <c r="G85" s="130"/>
      <c r="H85" s="28"/>
      <c r="I85" s="24">
        <v>24</v>
      </c>
      <c r="J85" s="25">
        <v>8.0085744116243209E-5</v>
      </c>
      <c r="K85" s="25">
        <v>1.649530278947432E-4</v>
      </c>
      <c r="M85" s="24">
        <v>24</v>
      </c>
      <c r="N85" s="25">
        <v>8.0085744116243209E-5</v>
      </c>
      <c r="O85" s="25">
        <v>1.649530278947432E-4</v>
      </c>
      <c r="Q85" s="24">
        <v>24</v>
      </c>
      <c r="R85" s="25">
        <v>8.0085744116243209E-5</v>
      </c>
      <c r="S85" s="25">
        <v>1.649530278947432E-4</v>
      </c>
      <c r="T85" s="28"/>
      <c r="U85" s="130"/>
      <c r="V85" s="27"/>
      <c r="AE85" s="130"/>
      <c r="AG85" s="163">
        <v>47</v>
      </c>
      <c r="AH85" s="164">
        <v>3.6303501446177699E-4</v>
      </c>
      <c r="AI85" s="164">
        <v>9.4470792012346595E-4</v>
      </c>
      <c r="AJ85" s="35"/>
      <c r="AK85" s="163">
        <v>47</v>
      </c>
      <c r="AL85" s="164">
        <v>3.6303501446177699E-4</v>
      </c>
      <c r="AM85" s="164">
        <v>9.4470792012346595E-4</v>
      </c>
      <c r="AN85" s="35"/>
      <c r="AO85" s="163">
        <v>47</v>
      </c>
      <c r="AP85" s="164">
        <v>3.6303501446177699E-4</v>
      </c>
      <c r="AQ85" s="164">
        <v>9.4470792012346595E-4</v>
      </c>
      <c r="AR85" s="28"/>
      <c r="AT85" s="130"/>
      <c r="AW85" s="27"/>
    </row>
    <row r="86" spans="1:49" s="1" customFormat="1">
      <c r="A86" s="42"/>
      <c r="B86" s="24">
        <v>80</v>
      </c>
      <c r="C86" s="25">
        <v>6.6887831799128401E-3</v>
      </c>
      <c r="D86" s="25">
        <v>7.9010921998996508E-3</v>
      </c>
      <c r="F86" s="27"/>
      <c r="G86" s="130"/>
      <c r="H86" s="28"/>
      <c r="I86" s="24">
        <v>25</v>
      </c>
      <c r="J86" s="25">
        <v>8.0000000000000007E-5</v>
      </c>
      <c r="K86" s="25">
        <v>2.0192212487959443E-4</v>
      </c>
      <c r="M86" s="24">
        <v>25</v>
      </c>
      <c r="N86" s="25">
        <v>8.0000000000000007E-5</v>
      </c>
      <c r="O86" s="25">
        <v>2.0192212487959443E-4</v>
      </c>
      <c r="Q86" s="24">
        <v>25</v>
      </c>
      <c r="R86" s="25">
        <v>8.0000000000000007E-5</v>
      </c>
      <c r="S86" s="25">
        <v>2.0192212487959443E-4</v>
      </c>
      <c r="T86" s="28"/>
      <c r="U86" s="130"/>
      <c r="V86" s="27"/>
      <c r="AE86" s="130"/>
      <c r="AG86" s="163">
        <v>48</v>
      </c>
      <c r="AH86" s="164">
        <v>3.6108731464412597E-4</v>
      </c>
      <c r="AI86" s="164">
        <v>9.3658269217733502E-4</v>
      </c>
      <c r="AJ86" s="35"/>
      <c r="AK86" s="163">
        <v>48</v>
      </c>
      <c r="AL86" s="164">
        <v>3.6108731464412597E-4</v>
      </c>
      <c r="AM86" s="164">
        <v>9.3658269217733502E-4</v>
      </c>
      <c r="AN86" s="35"/>
      <c r="AO86" s="163">
        <v>48</v>
      </c>
      <c r="AP86" s="164">
        <v>3.6108731464412597E-4</v>
      </c>
      <c r="AQ86" s="164">
        <v>9.3658269217733502E-4</v>
      </c>
      <c r="AR86" s="28"/>
      <c r="AT86" s="130"/>
      <c r="AW86" s="27"/>
    </row>
    <row r="87" spans="1:49" s="1" customFormat="1">
      <c r="A87" s="42"/>
      <c r="B87" s="24">
        <v>81</v>
      </c>
      <c r="C87" s="25">
        <v>6.6391964339212999E-3</v>
      </c>
      <c r="D87" s="25">
        <v>7.8471715857412194E-3</v>
      </c>
      <c r="F87" s="27"/>
      <c r="G87" s="130"/>
      <c r="H87" s="28"/>
      <c r="I87" s="24">
        <v>26</v>
      </c>
      <c r="J87" s="25">
        <v>8.9935984663469602E-5</v>
      </c>
      <c r="K87" s="25">
        <v>2.0145520007046639E-4</v>
      </c>
      <c r="M87" s="24">
        <v>26</v>
      </c>
      <c r="N87" s="25">
        <v>8.9935984663469602E-5</v>
      </c>
      <c r="O87" s="25">
        <v>2.0145520007046639E-4</v>
      </c>
      <c r="Q87" s="24">
        <v>26</v>
      </c>
      <c r="R87" s="25">
        <v>8.9935984663469602E-5</v>
      </c>
      <c r="S87" s="25">
        <v>2.0145520007046639E-4</v>
      </c>
      <c r="T87" s="28"/>
      <c r="U87" s="130"/>
      <c r="V87" s="27"/>
      <c r="AE87" s="130"/>
      <c r="AG87" s="163">
        <v>49</v>
      </c>
      <c r="AH87" s="164">
        <v>3.5915765015703799E-4</v>
      </c>
      <c r="AI87" s="164">
        <v>9.2861428799673195E-4</v>
      </c>
      <c r="AJ87" s="35"/>
      <c r="AK87" s="163">
        <v>49</v>
      </c>
      <c r="AL87" s="164">
        <v>3.5915765015703799E-4</v>
      </c>
      <c r="AM87" s="164">
        <v>9.2861428799673195E-4</v>
      </c>
      <c r="AN87" s="35"/>
      <c r="AO87" s="163">
        <v>49</v>
      </c>
      <c r="AP87" s="164">
        <v>3.5915765015703799E-4</v>
      </c>
      <c r="AQ87" s="164">
        <v>9.2861428799673195E-4</v>
      </c>
      <c r="AR87" s="28"/>
      <c r="AT87" s="130"/>
      <c r="AW87" s="27"/>
    </row>
    <row r="88" spans="1:49" s="1" customFormat="1">
      <c r="A88" s="42"/>
      <c r="B88" s="24">
        <v>82</v>
      </c>
      <c r="C88" s="25">
        <v>6.5944856607221798E-3</v>
      </c>
      <c r="D88" s="25">
        <v>7.8094473870647897E-3</v>
      </c>
      <c r="F88" s="27"/>
      <c r="G88" s="130"/>
      <c r="H88" s="28"/>
      <c r="I88" s="24">
        <v>27</v>
      </c>
      <c r="J88" s="25">
        <v>8.9789323113897607E-5</v>
      </c>
      <c r="K88" s="25">
        <v>2.0099019587673761E-4</v>
      </c>
      <c r="M88" s="24">
        <v>27</v>
      </c>
      <c r="N88" s="25">
        <v>8.9789323113897607E-5</v>
      </c>
      <c r="O88" s="25">
        <v>2.0099019587673761E-4</v>
      </c>
      <c r="Q88" s="24">
        <v>27</v>
      </c>
      <c r="R88" s="25">
        <v>8.9789323113897607E-5</v>
      </c>
      <c r="S88" s="25">
        <v>2.0099019587673761E-4</v>
      </c>
      <c r="T88" s="28"/>
      <c r="U88" s="130"/>
      <c r="V88" s="27"/>
      <c r="AE88" s="130"/>
      <c r="AG88" s="163">
        <v>50</v>
      </c>
      <c r="AH88" s="164">
        <v>5.7644062303463495E-4</v>
      </c>
      <c r="AI88" s="164">
        <v>1.48131107392968E-3</v>
      </c>
      <c r="AJ88" s="35"/>
      <c r="AK88" s="163">
        <v>50</v>
      </c>
      <c r="AL88" s="164">
        <v>5.7644062303463495E-4</v>
      </c>
      <c r="AM88" s="164">
        <v>1.48131107392968E-3</v>
      </c>
      <c r="AN88" s="35"/>
      <c r="AO88" s="163">
        <v>50</v>
      </c>
      <c r="AP88" s="164">
        <v>5.7644062303463495E-4</v>
      </c>
      <c r="AQ88" s="164">
        <v>1.48131107392968E-3</v>
      </c>
      <c r="AR88" s="28"/>
      <c r="AT88" s="130"/>
      <c r="AW88" s="27"/>
    </row>
    <row r="89" spans="1:49" s="1" customFormat="1">
      <c r="A89" s="42"/>
      <c r="B89" s="24">
        <v>83</v>
      </c>
      <c r="C89" s="25">
        <v>6.5541543162143103E-3</v>
      </c>
      <c r="D89" s="25">
        <v>7.7830799017566399E-3</v>
      </c>
      <c r="F89" s="27"/>
      <c r="G89" s="130"/>
      <c r="H89" s="28"/>
      <c r="I89" s="24">
        <v>28</v>
      </c>
      <c r="J89" s="25">
        <v>8.9643038169562409E-5</v>
      </c>
      <c r="K89" s="25">
        <v>2.0052711086124801E-4</v>
      </c>
      <c r="M89" s="24">
        <v>28</v>
      </c>
      <c r="N89" s="25">
        <v>8.9643038169562409E-5</v>
      </c>
      <c r="O89" s="25">
        <v>2.0052711086124801E-4</v>
      </c>
      <c r="Q89" s="24">
        <v>28</v>
      </c>
      <c r="R89" s="25">
        <v>8.9643038169562409E-5</v>
      </c>
      <c r="S89" s="25">
        <v>2.0052711086124801E-4</v>
      </c>
      <c r="T89" s="28"/>
      <c r="U89" s="130"/>
      <c r="V89" s="27"/>
      <c r="AE89" s="130"/>
      <c r="AG89" s="163">
        <v>51</v>
      </c>
      <c r="AH89" s="164">
        <v>5.71522078917308E-4</v>
      </c>
      <c r="AI89" s="164">
        <v>1.4616293804536899E-3</v>
      </c>
      <c r="AJ89" s="35"/>
      <c r="AK89" s="163">
        <v>51</v>
      </c>
      <c r="AL89" s="164">
        <v>5.71522078917308E-4</v>
      </c>
      <c r="AM89" s="164">
        <v>1.4616293804536899E-3</v>
      </c>
      <c r="AN89" s="35"/>
      <c r="AO89" s="163">
        <v>51</v>
      </c>
      <c r="AP89" s="164">
        <v>5.71522078917308E-4</v>
      </c>
      <c r="AQ89" s="164">
        <v>1.4616293804536899E-3</v>
      </c>
      <c r="AR89" s="28"/>
      <c r="AT89" s="130"/>
      <c r="AW89" s="27"/>
    </row>
    <row r="90" spans="1:49" s="1" customFormat="1">
      <c r="A90" s="42"/>
      <c r="B90" s="24">
        <v>84</v>
      </c>
      <c r="C90" s="25">
        <v>6.5177527073988504E-3</v>
      </c>
      <c r="D90" s="25">
        <v>7.7646626444241003E-3</v>
      </c>
      <c r="F90" s="27"/>
      <c r="G90" s="130"/>
      <c r="H90" s="28"/>
      <c r="I90" s="24">
        <v>29</v>
      </c>
      <c r="J90" s="25">
        <v>8.9497129384596801E-5</v>
      </c>
      <c r="K90" s="25">
        <v>2.0006594351267283E-4</v>
      </c>
      <c r="M90" s="24">
        <v>29</v>
      </c>
      <c r="N90" s="25">
        <v>8.9497129384596801E-5</v>
      </c>
      <c r="O90" s="25">
        <v>2.0006594351267283E-4</v>
      </c>
      <c r="Q90" s="24">
        <v>29</v>
      </c>
      <c r="R90" s="25">
        <v>8.9497129384596801E-5</v>
      </c>
      <c r="S90" s="25">
        <v>2.0006594351267283E-4</v>
      </c>
      <c r="T90" s="28"/>
      <c r="U90" s="130"/>
      <c r="V90" s="27"/>
      <c r="W90" s="27"/>
      <c r="X90" s="64"/>
      <c r="Y90" s="65"/>
      <c r="Z90" s="27"/>
      <c r="AA90" s="27"/>
      <c r="AB90" s="27"/>
      <c r="AC90" s="27"/>
      <c r="AD90" s="27"/>
      <c r="AE90" s="130"/>
      <c r="AG90" s="163">
        <v>52</v>
      </c>
      <c r="AH90" s="164">
        <v>5.66678034814583E-4</v>
      </c>
      <c r="AI90" s="164">
        <v>1.44257914928492E-3</v>
      </c>
      <c r="AJ90" s="35"/>
      <c r="AK90" s="163">
        <v>52</v>
      </c>
      <c r="AL90" s="164">
        <v>5.66678034814583E-4</v>
      </c>
      <c r="AM90" s="164">
        <v>1.44257914928492E-3</v>
      </c>
      <c r="AN90" s="35"/>
      <c r="AO90" s="163">
        <v>52</v>
      </c>
      <c r="AP90" s="164">
        <v>5.66678034814583E-4</v>
      </c>
      <c r="AQ90" s="164">
        <v>1.44257914928492E-3</v>
      </c>
      <c r="AR90" s="28"/>
      <c r="AT90" s="130"/>
      <c r="AW90" s="27"/>
    </row>
    <row r="91" spans="1:49" s="1" customFormat="1">
      <c r="A91" s="42"/>
      <c r="B91" s="24">
        <v>85</v>
      </c>
      <c r="C91" s="25">
        <v>8.7551399791500097E-3</v>
      </c>
      <c r="D91" s="25">
        <v>1.1669831046528301E-2</v>
      </c>
      <c r="F91" s="27"/>
      <c r="G91" s="130"/>
      <c r="H91" s="28"/>
      <c r="I91" s="24">
        <v>30</v>
      </c>
      <c r="J91" s="25">
        <v>1.1216317005615681E-4</v>
      </c>
      <c r="K91" s="25">
        <v>2.6838470108065917E-4</v>
      </c>
      <c r="M91" s="24">
        <v>30</v>
      </c>
      <c r="N91" s="25">
        <v>1.1216317005615681E-4</v>
      </c>
      <c r="O91" s="25">
        <v>2.6838470108065917E-4</v>
      </c>
      <c r="Q91" s="24">
        <v>30</v>
      </c>
      <c r="R91" s="25">
        <v>1.1216317005615681E-4</v>
      </c>
      <c r="S91" s="25">
        <v>2.6838470108065917E-4</v>
      </c>
      <c r="T91" s="28"/>
      <c r="U91" s="130"/>
      <c r="V91" s="27"/>
      <c r="W91" s="27"/>
      <c r="X91" s="64"/>
      <c r="Y91" s="65"/>
      <c r="Z91" s="27"/>
      <c r="AA91" s="27"/>
      <c r="AB91" s="27"/>
      <c r="AC91" s="27"/>
      <c r="AD91" s="27"/>
      <c r="AE91" s="130"/>
      <c r="AG91" s="163">
        <v>53</v>
      </c>
      <c r="AH91" s="164">
        <v>5.6190779443099402E-4</v>
      </c>
      <c r="AI91" s="164">
        <v>1.4241485743697901E-3</v>
      </c>
      <c r="AJ91" s="35"/>
      <c r="AK91" s="163">
        <v>53</v>
      </c>
      <c r="AL91" s="164">
        <v>5.6190779443099402E-4</v>
      </c>
      <c r="AM91" s="164">
        <v>1.4241485743697901E-3</v>
      </c>
      <c r="AN91" s="35"/>
      <c r="AO91" s="163">
        <v>53</v>
      </c>
      <c r="AP91" s="164">
        <v>5.6190779443099402E-4</v>
      </c>
      <c r="AQ91" s="164">
        <v>1.4241485743697901E-3</v>
      </c>
      <c r="AR91" s="28"/>
      <c r="AT91" s="130"/>
      <c r="AW91" s="27"/>
    </row>
    <row r="92" spans="1:49" s="1" customFormat="1">
      <c r="A92" s="42"/>
      <c r="B92" s="24">
        <v>86</v>
      </c>
      <c r="C92" s="25">
        <v>8.7027273354726205E-3</v>
      </c>
      <c r="D92" s="25">
        <v>1.16526533032553E-2</v>
      </c>
      <c r="F92" s="27"/>
      <c r="G92" s="130"/>
      <c r="H92" s="28"/>
      <c r="I92" s="24">
        <v>31</v>
      </c>
      <c r="J92" s="25">
        <v>1.119344890693872E-4</v>
      </c>
      <c r="K92" s="25">
        <v>2.6755843877284162E-4</v>
      </c>
      <c r="M92" s="24">
        <v>31</v>
      </c>
      <c r="N92" s="25">
        <v>1.119344890693872E-4</v>
      </c>
      <c r="O92" s="25">
        <v>2.6755843877284162E-4</v>
      </c>
      <c r="Q92" s="24">
        <v>31</v>
      </c>
      <c r="R92" s="25">
        <v>1.119344890693872E-4</v>
      </c>
      <c r="S92" s="25">
        <v>2.6755843877284162E-4</v>
      </c>
      <c r="T92" s="28"/>
      <c r="U92" s="130"/>
      <c r="V92" s="27"/>
      <c r="W92" s="27"/>
      <c r="X92" s="64"/>
      <c r="Y92" s="65"/>
      <c r="Z92" s="27"/>
      <c r="AA92" s="27"/>
      <c r="AB92" s="27"/>
      <c r="AC92" s="27"/>
      <c r="AD92" s="27"/>
      <c r="AE92" s="130"/>
      <c r="AG92" s="163">
        <v>54</v>
      </c>
      <c r="AH92" s="164">
        <v>5.5721065018898798E-4</v>
      </c>
      <c r="AI92" s="164">
        <v>1.40632540897589E-3</v>
      </c>
      <c r="AJ92" s="35"/>
      <c r="AK92" s="163">
        <v>54</v>
      </c>
      <c r="AL92" s="164">
        <v>5.5721065018898798E-4</v>
      </c>
      <c r="AM92" s="164">
        <v>1.40632540897589E-3</v>
      </c>
      <c r="AN92" s="35"/>
      <c r="AO92" s="163">
        <v>54</v>
      </c>
      <c r="AP92" s="164">
        <v>5.5721065018898798E-4</v>
      </c>
      <c r="AQ92" s="164">
        <v>1.40632540897589E-3</v>
      </c>
      <c r="AR92" s="28"/>
      <c r="AT92" s="130"/>
      <c r="AW92" s="27"/>
    </row>
    <row r="93" spans="1:49" s="1" customFormat="1">
      <c r="A93" s="42"/>
      <c r="B93" s="24">
        <v>87</v>
      </c>
      <c r="C93" s="25">
        <v>8.6569174391725196E-3</v>
      </c>
      <c r="D93" s="25">
        <v>1.16426760826049E-2</v>
      </c>
      <c r="F93" s="27"/>
      <c r="G93" s="130"/>
      <c r="H93" s="28"/>
      <c r="I93" s="24">
        <v>32</v>
      </c>
      <c r="J93" s="25">
        <v>1.117065495841448E-4</v>
      </c>
      <c r="K93" s="25">
        <v>2.6673682907585284E-4</v>
      </c>
      <c r="M93" s="24">
        <v>32</v>
      </c>
      <c r="N93" s="25">
        <v>1.117065495841448E-4</v>
      </c>
      <c r="O93" s="25">
        <v>2.6673682907585284E-4</v>
      </c>
      <c r="Q93" s="24">
        <v>32</v>
      </c>
      <c r="R93" s="25">
        <v>1.117065495841448E-4</v>
      </c>
      <c r="S93" s="25">
        <v>2.6673682907585284E-4</v>
      </c>
      <c r="T93" s="28"/>
      <c r="U93" s="130"/>
      <c r="V93" s="27"/>
      <c r="W93" s="27"/>
      <c r="X93" s="64"/>
      <c r="Y93" s="65"/>
      <c r="Z93" s="27"/>
      <c r="AA93" s="27"/>
      <c r="AB93" s="27"/>
      <c r="AC93" s="27"/>
      <c r="AD93" s="27"/>
      <c r="AE93" s="130"/>
      <c r="AG93" s="163">
        <v>55</v>
      </c>
      <c r="AH93" s="164">
        <v>9.2854668463171496E-4</v>
      </c>
      <c r="AI93" s="164">
        <v>2.2561060185604101E-3</v>
      </c>
      <c r="AJ93" s="35"/>
      <c r="AK93" s="163">
        <v>55</v>
      </c>
      <c r="AL93" s="164">
        <v>9.2854668463171496E-4</v>
      </c>
      <c r="AM93" s="164">
        <v>2.2561060185604101E-3</v>
      </c>
      <c r="AN93" s="35"/>
      <c r="AO93" s="163">
        <v>55</v>
      </c>
      <c r="AP93" s="164">
        <v>9.2854668463171496E-4</v>
      </c>
      <c r="AQ93" s="164">
        <v>2.2561060185604101E-3</v>
      </c>
      <c r="AR93" s="28"/>
      <c r="AT93" s="130"/>
      <c r="AW93" s="27"/>
    </row>
    <row r="94" spans="1:49" s="1" customFormat="1">
      <c r="A94" s="42"/>
      <c r="B94" s="24">
        <v>88</v>
      </c>
      <c r="C94" s="25">
        <v>8.6167997462248697E-3</v>
      </c>
      <c r="D94" s="25">
        <v>1.1636883677701699E-2</v>
      </c>
      <c r="F94" s="27"/>
      <c r="G94" s="130"/>
      <c r="H94" s="28"/>
      <c r="I94" s="24">
        <v>33</v>
      </c>
      <c r="J94" s="25">
        <v>1.1147935045681119E-4</v>
      </c>
      <c r="K94" s="25">
        <v>2.6591986593968957E-4</v>
      </c>
      <c r="M94" s="24">
        <v>33</v>
      </c>
      <c r="N94" s="25">
        <v>1.1147935045681119E-4</v>
      </c>
      <c r="O94" s="25">
        <v>2.6591986593968957E-4</v>
      </c>
      <c r="Q94" s="24">
        <v>33</v>
      </c>
      <c r="R94" s="25">
        <v>1.1147935045681119E-4</v>
      </c>
      <c r="S94" s="25">
        <v>2.6591986593968957E-4</v>
      </c>
      <c r="T94" s="28"/>
      <c r="U94" s="130"/>
      <c r="V94" s="27"/>
      <c r="W94" s="27"/>
      <c r="X94" s="64"/>
      <c r="Y94" s="65"/>
      <c r="Z94" s="27"/>
      <c r="AA94" s="27"/>
      <c r="AB94" s="27"/>
      <c r="AC94" s="27"/>
      <c r="AD94" s="27"/>
      <c r="AE94" s="130"/>
      <c r="AG94" s="163">
        <v>56</v>
      </c>
      <c r="AH94" s="164">
        <v>8.2566045880705396E-4</v>
      </c>
      <c r="AI94" s="164">
        <v>1.1122834412387E-3</v>
      </c>
      <c r="AJ94" s="35"/>
      <c r="AK94" s="163">
        <v>56</v>
      </c>
      <c r="AL94" s="164">
        <v>8.2566045880705396E-4</v>
      </c>
      <c r="AM94" s="164">
        <v>1.1122834412387E-3</v>
      </c>
      <c r="AN94" s="35"/>
      <c r="AO94" s="163">
        <v>56</v>
      </c>
      <c r="AP94" s="164">
        <v>8.2566045880705396E-4</v>
      </c>
      <c r="AQ94" s="164">
        <v>1.1122834412387E-3</v>
      </c>
      <c r="AR94" s="28"/>
      <c r="AT94" s="130"/>
      <c r="AW94" s="27"/>
    </row>
    <row r="95" spans="1:49" s="1" customFormat="1">
      <c r="A95" s="42"/>
      <c r="B95" s="24">
        <v>89</v>
      </c>
      <c r="C95" s="25">
        <v>8.58159162814842E-3</v>
      </c>
      <c r="D95" s="25">
        <v>1.1633522546374101E-2</v>
      </c>
      <c r="F95" s="27"/>
      <c r="G95" s="130"/>
      <c r="H95" s="28"/>
      <c r="I95" s="24">
        <v>34</v>
      </c>
      <c r="J95" s="25">
        <v>1.1125289053417441E-4</v>
      </c>
      <c r="K95" s="25">
        <v>2.651075430068592E-4</v>
      </c>
      <c r="M95" s="24">
        <v>34</v>
      </c>
      <c r="N95" s="25">
        <v>1.1125289053417441E-4</v>
      </c>
      <c r="O95" s="25">
        <v>2.651075430068592E-4</v>
      </c>
      <c r="Q95" s="24">
        <v>34</v>
      </c>
      <c r="R95" s="25">
        <v>1.1125289053417441E-4</v>
      </c>
      <c r="S95" s="25">
        <v>2.651075430068592E-4</v>
      </c>
      <c r="T95" s="28"/>
      <c r="U95" s="130"/>
      <c r="V95" s="27"/>
      <c r="W95" s="27"/>
      <c r="X95" s="64"/>
      <c r="Y95" s="65"/>
      <c r="Z95" s="27"/>
      <c r="AA95" s="27"/>
      <c r="AB95" s="27"/>
      <c r="AC95" s="27"/>
      <c r="AD95" s="27"/>
      <c r="AE95" s="130"/>
      <c r="AG95" s="163">
        <v>57</v>
      </c>
      <c r="AH95" s="164">
        <v>8.2408904274244897E-4</v>
      </c>
      <c r="AI95" s="164">
        <v>1.10175388600897E-3</v>
      </c>
      <c r="AJ95" s="35"/>
      <c r="AK95" s="163">
        <v>57</v>
      </c>
      <c r="AL95" s="164">
        <v>8.2408904274244897E-4</v>
      </c>
      <c r="AM95" s="164">
        <v>1.10175388600897E-3</v>
      </c>
      <c r="AN95" s="35"/>
      <c r="AO95" s="163">
        <v>57</v>
      </c>
      <c r="AP95" s="164">
        <v>8.2408904274244897E-4</v>
      </c>
      <c r="AQ95" s="164">
        <v>1.10175388600897E-3</v>
      </c>
      <c r="AR95" s="28"/>
      <c r="AT95" s="130"/>
      <c r="AW95" s="27"/>
    </row>
    <row r="96" spans="1:49" s="1" customFormat="1">
      <c r="A96" s="42"/>
      <c r="B96" s="24">
        <v>90</v>
      </c>
      <c r="C96" s="25">
        <v>1.1272172946570199E-2</v>
      </c>
      <c r="D96" s="25">
        <v>1.6503899630902801E-2</v>
      </c>
      <c r="F96" s="27"/>
      <c r="G96" s="130"/>
      <c r="H96" s="28"/>
      <c r="I96" s="24">
        <v>35</v>
      </c>
      <c r="J96" s="25">
        <v>1.5040581318972481E-4</v>
      </c>
      <c r="K96" s="25">
        <v>3.656144978869232E-4</v>
      </c>
      <c r="M96" s="24">
        <v>35</v>
      </c>
      <c r="N96" s="25">
        <v>1.5040581318972481E-4</v>
      </c>
      <c r="O96" s="25">
        <v>3.656144978869232E-4</v>
      </c>
      <c r="Q96" s="24">
        <v>35</v>
      </c>
      <c r="R96" s="25">
        <v>1.5040581318972481E-4</v>
      </c>
      <c r="S96" s="25">
        <v>3.656144978869232E-4</v>
      </c>
      <c r="T96" s="28"/>
      <c r="U96" s="130"/>
      <c r="V96" s="27"/>
      <c r="W96" s="27"/>
      <c r="X96" s="64"/>
      <c r="Y96" s="65"/>
      <c r="Z96" s="27"/>
      <c r="AA96" s="27"/>
      <c r="AB96" s="27"/>
      <c r="AC96" s="27"/>
      <c r="AD96" s="27"/>
      <c r="AE96" s="130"/>
      <c r="AG96" s="163">
        <v>58</v>
      </c>
      <c r="AH96" s="164">
        <v>8.2253437159407505E-4</v>
      </c>
      <c r="AI96" s="164">
        <v>1.0915229815805501E-3</v>
      </c>
      <c r="AJ96" s="35"/>
      <c r="AK96" s="163">
        <v>58</v>
      </c>
      <c r="AL96" s="164">
        <v>8.2253437159407505E-4</v>
      </c>
      <c r="AM96" s="164">
        <v>1.0915229815805501E-3</v>
      </c>
      <c r="AN96" s="35"/>
      <c r="AO96" s="163">
        <v>58</v>
      </c>
      <c r="AP96" s="164">
        <v>8.2253437159407505E-4</v>
      </c>
      <c r="AQ96" s="164">
        <v>1.0915229815805501E-3</v>
      </c>
      <c r="AR96" s="28"/>
      <c r="AT96" s="130"/>
      <c r="AW96" s="27"/>
    </row>
    <row r="97" spans="1:49" s="1" customFormat="1">
      <c r="A97" s="42"/>
      <c r="B97" s="24">
        <v>91</v>
      </c>
      <c r="C97" s="25">
        <v>1.12264723367552E-2</v>
      </c>
      <c r="D97" s="25">
        <v>1.6502058168295999E-2</v>
      </c>
      <c r="F97" s="27"/>
      <c r="G97" s="130"/>
      <c r="H97" s="28"/>
      <c r="I97" s="24">
        <v>36</v>
      </c>
      <c r="J97" s="25">
        <v>1.4999311517573921E-4</v>
      </c>
      <c r="K97" s="25">
        <v>3.6407935330364806E-4</v>
      </c>
      <c r="M97" s="24">
        <v>36</v>
      </c>
      <c r="N97" s="25">
        <v>1.4999311517573921E-4</v>
      </c>
      <c r="O97" s="25">
        <v>3.6407935330364806E-4</v>
      </c>
      <c r="Q97" s="24">
        <v>36</v>
      </c>
      <c r="R97" s="25">
        <v>1.4999311517573921E-4</v>
      </c>
      <c r="S97" s="25">
        <v>3.6407935330364806E-4</v>
      </c>
      <c r="T97" s="28"/>
      <c r="U97" s="130"/>
      <c r="V97" s="27"/>
      <c r="W97" s="27"/>
      <c r="X97" s="64"/>
      <c r="Y97" s="65"/>
      <c r="Z97" s="27"/>
      <c r="AA97" s="27"/>
      <c r="AB97" s="27"/>
      <c r="AC97" s="27"/>
      <c r="AD97" s="27"/>
      <c r="AE97" s="130"/>
      <c r="AG97" s="163">
        <v>59</v>
      </c>
      <c r="AH97" s="164">
        <v>8.2099630481169395E-4</v>
      </c>
      <c r="AI97" s="164">
        <v>1.0815847038364601E-3</v>
      </c>
      <c r="AJ97" s="35"/>
      <c r="AK97" s="163">
        <v>59</v>
      </c>
      <c r="AL97" s="164">
        <v>8.2099630481169395E-4</v>
      </c>
      <c r="AM97" s="164">
        <v>1.0815847038364601E-3</v>
      </c>
      <c r="AN97" s="35"/>
      <c r="AO97" s="163">
        <v>59</v>
      </c>
      <c r="AP97" s="164">
        <v>8.2099630481169395E-4</v>
      </c>
      <c r="AQ97" s="164">
        <v>1.0815847038364601E-3</v>
      </c>
      <c r="AR97" s="28"/>
      <c r="AT97" s="130"/>
      <c r="AW97" s="27"/>
    </row>
    <row r="98" spans="1:49" s="1" customFormat="1">
      <c r="A98" s="42"/>
      <c r="B98" s="24">
        <v>92</v>
      </c>
      <c r="C98" s="25">
        <v>1.11875853683548E-2</v>
      </c>
      <c r="D98" s="25">
        <v>1.6501223881195199E-2</v>
      </c>
      <c r="F98" s="27"/>
      <c r="G98" s="130"/>
      <c r="H98" s="28"/>
      <c r="I98" s="24">
        <v>37</v>
      </c>
      <c r="J98" s="25">
        <v>1.4958224649204161E-4</v>
      </c>
      <c r="K98" s="25">
        <v>3.6255644670966079E-4</v>
      </c>
      <c r="M98" s="24">
        <v>37</v>
      </c>
      <c r="N98" s="25">
        <v>1.4958224649204161E-4</v>
      </c>
      <c r="O98" s="25">
        <v>3.6255644670966079E-4</v>
      </c>
      <c r="Q98" s="24">
        <v>37</v>
      </c>
      <c r="R98" s="25">
        <v>1.4958224649204161E-4</v>
      </c>
      <c r="S98" s="25">
        <v>3.6255644670966079E-4</v>
      </c>
      <c r="T98" s="28"/>
      <c r="U98" s="130"/>
      <c r="V98" s="27"/>
      <c r="W98" s="27"/>
      <c r="X98" s="64"/>
      <c r="Y98" s="65"/>
      <c r="Z98" s="27"/>
      <c r="AA98" s="27"/>
      <c r="AB98" s="27"/>
      <c r="AC98" s="27"/>
      <c r="AD98" s="27"/>
      <c r="AE98" s="130"/>
      <c r="AG98" s="163">
        <v>60</v>
      </c>
      <c r="AH98" s="164">
        <v>1.3331590162722899E-3</v>
      </c>
      <c r="AI98" s="164">
        <v>1.7277921812095501E-3</v>
      </c>
      <c r="AJ98" s="35"/>
      <c r="AK98" s="163">
        <v>60</v>
      </c>
      <c r="AL98" s="164">
        <v>1.3331590162722899E-3</v>
      </c>
      <c r="AM98" s="164">
        <v>1.7277921812095501E-3</v>
      </c>
      <c r="AN98" s="35"/>
      <c r="AO98" s="163">
        <v>60</v>
      </c>
      <c r="AP98" s="164">
        <v>1.3331590162722899E-3</v>
      </c>
      <c r="AQ98" s="164">
        <v>1.7277921812095501E-3</v>
      </c>
      <c r="AR98" s="28"/>
      <c r="AT98" s="130"/>
      <c r="AW98" s="27"/>
    </row>
    <row r="99" spans="1:49" s="1" customFormat="1">
      <c r="A99" s="42"/>
      <c r="B99" s="24">
        <v>93</v>
      </c>
      <c r="C99" s="25">
        <v>1.11543509195832E-2</v>
      </c>
      <c r="D99" s="25">
        <v>1.6500857761471099E-2</v>
      </c>
      <c r="F99" s="27"/>
      <c r="G99" s="130"/>
      <c r="H99" s="28"/>
      <c r="I99" s="24">
        <v>38</v>
      </c>
      <c r="J99" s="25">
        <v>1.4917320310106082E-4</v>
      </c>
      <c r="K99" s="25">
        <v>3.6104574962108086E-4</v>
      </c>
      <c r="M99" s="24">
        <v>38</v>
      </c>
      <c r="N99" s="25">
        <v>1.4917320310106082E-4</v>
      </c>
      <c r="O99" s="25">
        <v>3.6104574962108086E-4</v>
      </c>
      <c r="Q99" s="24">
        <v>38</v>
      </c>
      <c r="R99" s="25">
        <v>1.4917320310106082E-4</v>
      </c>
      <c r="S99" s="25">
        <v>3.6104574962108086E-4</v>
      </c>
      <c r="T99" s="28"/>
      <c r="U99" s="130"/>
      <c r="V99" s="27"/>
      <c r="W99" s="27"/>
      <c r="X99" s="64"/>
      <c r="Y99" s="65"/>
      <c r="Z99" s="27"/>
      <c r="AA99" s="27"/>
      <c r="AB99" s="27"/>
      <c r="AC99" s="27"/>
      <c r="AD99" s="27"/>
      <c r="AE99" s="130"/>
      <c r="AF99" s="27"/>
      <c r="AG99" s="163">
        <v>61</v>
      </c>
      <c r="AH99" s="164">
        <v>1.32919742099979E-3</v>
      </c>
      <c r="AI99" s="164">
        <v>1.7037546016004401E-3</v>
      </c>
      <c r="AJ99" s="35"/>
      <c r="AK99" s="163">
        <v>61</v>
      </c>
      <c r="AL99" s="164">
        <v>1.32919742099979E-3</v>
      </c>
      <c r="AM99" s="164">
        <v>1.7037546016004401E-3</v>
      </c>
      <c r="AN99" s="35"/>
      <c r="AO99" s="163">
        <v>61</v>
      </c>
      <c r="AP99" s="164">
        <v>1.32919742099979E-3</v>
      </c>
      <c r="AQ99" s="164">
        <v>1.7037546016004401E-3</v>
      </c>
      <c r="AR99" s="28"/>
      <c r="AT99" s="130"/>
      <c r="AW99" s="27"/>
    </row>
    <row r="100" spans="1:49" s="1" customFormat="1">
      <c r="A100" s="42"/>
      <c r="B100" s="24">
        <v>94</v>
      </c>
      <c r="C100" s="25">
        <v>1.1125823005723999E-2</v>
      </c>
      <c r="D100" s="25">
        <v>1.6500711831515798E-2</v>
      </c>
      <c r="F100" s="27"/>
      <c r="G100" s="130"/>
      <c r="H100" s="28"/>
      <c r="I100" s="24">
        <v>39</v>
      </c>
      <c r="J100" s="25">
        <v>1.4876598092401522E-4</v>
      </c>
      <c r="K100" s="25">
        <v>3.5954723212094881E-4</v>
      </c>
      <c r="M100" s="24">
        <v>39</v>
      </c>
      <c r="N100" s="25">
        <v>1.4876598092401522E-4</v>
      </c>
      <c r="O100" s="25">
        <v>3.5954723212094881E-4</v>
      </c>
      <c r="Q100" s="24">
        <v>39</v>
      </c>
      <c r="R100" s="25">
        <v>1.4876598092401522E-4</v>
      </c>
      <c r="S100" s="25">
        <v>3.5954723212094881E-4</v>
      </c>
      <c r="T100" s="28"/>
      <c r="U100" s="130"/>
      <c r="V100" s="27"/>
      <c r="W100" s="27"/>
      <c r="X100" s="64"/>
      <c r="Y100" s="65"/>
      <c r="Z100" s="27"/>
      <c r="AA100" s="27"/>
      <c r="AB100" s="27"/>
      <c r="AC100" s="27"/>
      <c r="AD100" s="27"/>
      <c r="AE100" s="130"/>
      <c r="AF100" s="27"/>
      <c r="AG100" s="163">
        <v>62</v>
      </c>
      <c r="AH100" s="164">
        <v>1.3253050656632001E-3</v>
      </c>
      <c r="AI100" s="164">
        <v>1.68085175776489E-3</v>
      </c>
      <c r="AJ100" s="35"/>
      <c r="AK100" s="163">
        <v>62</v>
      </c>
      <c r="AL100" s="164">
        <v>1.3253050656632001E-3</v>
      </c>
      <c r="AM100" s="164">
        <v>1.68085175776489E-3</v>
      </c>
      <c r="AN100" s="35"/>
      <c r="AO100" s="163">
        <v>62</v>
      </c>
      <c r="AP100" s="164">
        <v>1.3253050656632001E-3</v>
      </c>
      <c r="AQ100" s="164">
        <v>1.68085175776489E-3</v>
      </c>
      <c r="AR100" s="28"/>
      <c r="AT100" s="130"/>
      <c r="AW100" s="27"/>
    </row>
    <row r="101" spans="1:49" s="1" customFormat="1">
      <c r="A101" s="42"/>
      <c r="B101" s="24">
        <v>95</v>
      </c>
      <c r="C101" s="25">
        <v>1.34228894861959E-2</v>
      </c>
      <c r="D101" s="25">
        <v>2.13746310453455E-2</v>
      </c>
      <c r="F101" s="27"/>
      <c r="G101" s="130"/>
      <c r="H101" s="28"/>
      <c r="I101" s="24">
        <v>40</v>
      </c>
      <c r="J101" s="25">
        <v>2.0398772896728084E-4</v>
      </c>
      <c r="K101" s="25">
        <v>5.1470720887962799E-4</v>
      </c>
      <c r="M101" s="24">
        <v>40</v>
      </c>
      <c r="N101" s="25">
        <v>2.0398772896728084E-4</v>
      </c>
      <c r="O101" s="25">
        <v>5.1470720887962799E-4</v>
      </c>
      <c r="Q101" s="24">
        <v>40</v>
      </c>
      <c r="R101" s="25">
        <v>2.0398772896728084E-4</v>
      </c>
      <c r="S101" s="25">
        <v>5.1470720887962799E-4</v>
      </c>
      <c r="T101" s="28"/>
      <c r="U101" s="130"/>
      <c r="V101" s="27"/>
      <c r="W101" s="27"/>
      <c r="X101" s="64"/>
      <c r="Y101" s="65"/>
      <c r="Z101" s="27"/>
      <c r="AA101" s="27"/>
      <c r="AB101" s="27"/>
      <c r="AC101" s="27"/>
      <c r="AD101" s="27"/>
      <c r="AE101" s="130"/>
      <c r="AF101" s="27"/>
      <c r="AG101" s="163">
        <v>63</v>
      </c>
      <c r="AH101" s="164">
        <v>1.32148096576523E-3</v>
      </c>
      <c r="AI101" s="164">
        <v>1.65904212404144E-3</v>
      </c>
      <c r="AJ101" s="35"/>
      <c r="AK101" s="163">
        <v>63</v>
      </c>
      <c r="AL101" s="164">
        <v>1.32148096576523E-3</v>
      </c>
      <c r="AM101" s="164">
        <v>1.65904212404144E-3</v>
      </c>
      <c r="AN101" s="35"/>
      <c r="AO101" s="163">
        <v>63</v>
      </c>
      <c r="AP101" s="164">
        <v>1.32148096576523E-3</v>
      </c>
      <c r="AQ101" s="164">
        <v>1.65904212404144E-3</v>
      </c>
      <c r="AR101" s="28"/>
      <c r="AT101" s="130"/>
      <c r="AW101" s="27"/>
    </row>
    <row r="102" spans="1:49" s="1" customFormat="1">
      <c r="A102" s="42"/>
      <c r="B102" s="24">
        <v>96</v>
      </c>
      <c r="C102" s="25">
        <v>1.3392640697755699E-2</v>
      </c>
      <c r="D102" s="25">
        <v>2.1374708725078299E-2</v>
      </c>
      <c r="F102" s="27"/>
      <c r="G102" s="130"/>
      <c r="H102" s="28"/>
      <c r="I102" s="24">
        <v>41</v>
      </c>
      <c r="J102" s="25">
        <v>2.0322525297453679E-4</v>
      </c>
      <c r="K102" s="25">
        <v>5.1166632149035596E-4</v>
      </c>
      <c r="M102" s="24">
        <v>41</v>
      </c>
      <c r="N102" s="25">
        <v>2.0322525297453679E-4</v>
      </c>
      <c r="O102" s="25">
        <v>5.1166632149035596E-4</v>
      </c>
      <c r="Q102" s="24">
        <v>41</v>
      </c>
      <c r="R102" s="25">
        <v>2.0322525297453679E-4</v>
      </c>
      <c r="S102" s="25">
        <v>5.1166632149035596E-4</v>
      </c>
      <c r="T102" s="28"/>
      <c r="U102" s="130"/>
      <c r="V102" s="27"/>
      <c r="W102" s="27"/>
      <c r="X102" s="64"/>
      <c r="Y102" s="65"/>
      <c r="Z102" s="27"/>
      <c r="AA102" s="27"/>
      <c r="AB102" s="27"/>
      <c r="AC102" s="27"/>
      <c r="AD102" s="27"/>
      <c r="AE102" s="130"/>
      <c r="AF102" s="27"/>
      <c r="AG102" s="163">
        <v>64</v>
      </c>
      <c r="AH102" s="164">
        <v>1.31772413891307E-3</v>
      </c>
      <c r="AI102" s="164">
        <v>1.6382844325139E-3</v>
      </c>
      <c r="AJ102" s="35"/>
      <c r="AK102" s="163">
        <v>64</v>
      </c>
      <c r="AL102" s="164">
        <v>1.31772413891307E-3</v>
      </c>
      <c r="AM102" s="164">
        <v>1.6382844325139E-3</v>
      </c>
      <c r="AN102" s="35"/>
      <c r="AO102" s="163">
        <v>64</v>
      </c>
      <c r="AP102" s="164">
        <v>1.31772413891307E-3</v>
      </c>
      <c r="AQ102" s="164">
        <v>1.6382844325139E-3</v>
      </c>
      <c r="AR102" s="28"/>
      <c r="AT102" s="130"/>
      <c r="AW102" s="27"/>
    </row>
    <row r="103" spans="1:49" s="1" customFormat="1">
      <c r="A103" s="42"/>
      <c r="B103" s="24">
        <v>97</v>
      </c>
      <c r="C103" s="25">
        <v>1.33670819383976E-2</v>
      </c>
      <c r="D103" s="25">
        <v>2.13748592768289E-2</v>
      </c>
      <c r="F103" s="27"/>
      <c r="G103" s="130"/>
      <c r="H103" s="28"/>
      <c r="I103" s="24">
        <v>42</v>
      </c>
      <c r="J103" s="25">
        <v>2.0246747940566562E-4</v>
      </c>
      <c r="K103" s="25">
        <v>5.0866134901541595E-4</v>
      </c>
      <c r="M103" s="24">
        <v>42</v>
      </c>
      <c r="N103" s="25">
        <v>2.0246747940566562E-4</v>
      </c>
      <c r="O103" s="25">
        <v>5.0866134901541595E-4</v>
      </c>
      <c r="Q103" s="24">
        <v>42</v>
      </c>
      <c r="R103" s="25">
        <v>2.0246747940566562E-4</v>
      </c>
      <c r="S103" s="25">
        <v>5.0866134901541595E-4</v>
      </c>
      <c r="T103" s="28"/>
      <c r="U103" s="130"/>
      <c r="V103" s="27"/>
      <c r="W103" s="27"/>
      <c r="X103" s="64"/>
      <c r="Y103" s="65"/>
      <c r="Z103" s="27"/>
      <c r="AA103" s="27"/>
      <c r="AB103" s="27"/>
      <c r="AC103" s="27"/>
      <c r="AD103" s="27"/>
      <c r="AE103" s="130"/>
      <c r="AF103" s="27"/>
      <c r="AG103" s="163">
        <v>65</v>
      </c>
      <c r="AH103" s="164">
        <v>2.0791819905906501E-3</v>
      </c>
      <c r="AI103" s="164">
        <v>2.5901585199874502E-3</v>
      </c>
      <c r="AJ103" s="35"/>
      <c r="AK103" s="163">
        <v>65</v>
      </c>
      <c r="AL103" s="164">
        <v>2.0791819905906501E-3</v>
      </c>
      <c r="AM103" s="164">
        <v>2.5901585199874502E-3</v>
      </c>
      <c r="AN103" s="35"/>
      <c r="AO103" s="163">
        <v>65</v>
      </c>
      <c r="AP103" s="164">
        <v>2.0791819905906501E-3</v>
      </c>
      <c r="AQ103" s="164">
        <v>2.5901585199874502E-3</v>
      </c>
      <c r="AR103" s="28"/>
      <c r="AT103" s="130"/>
      <c r="AW103" s="27"/>
    </row>
    <row r="104" spans="1:49" s="1" customFormat="1">
      <c r="A104" s="42"/>
      <c r="B104" s="24">
        <v>98</v>
      </c>
      <c r="C104" s="25">
        <v>1.3345370243881599E-2</v>
      </c>
      <c r="D104" s="25">
        <v>2.13750726591466E-2</v>
      </c>
      <c r="F104" s="27"/>
      <c r="G104" s="130"/>
      <c r="H104" s="28"/>
      <c r="I104" s="24">
        <v>43</v>
      </c>
      <c r="J104" s="25">
        <v>2.0171439298577443E-4</v>
      </c>
      <c r="K104" s="25">
        <v>5.0569213526729928E-4</v>
      </c>
      <c r="M104" s="24">
        <v>43</v>
      </c>
      <c r="N104" s="25">
        <v>2.0171439298577443E-4</v>
      </c>
      <c r="O104" s="25">
        <v>5.0569213526729928E-4</v>
      </c>
      <c r="Q104" s="24">
        <v>43</v>
      </c>
      <c r="R104" s="25">
        <v>2.0171439298577443E-4</v>
      </c>
      <c r="S104" s="25">
        <v>5.0569213526729928E-4</v>
      </c>
      <c r="T104" s="28"/>
      <c r="U104" s="130"/>
      <c r="V104" s="27"/>
      <c r="W104" s="27"/>
      <c r="X104" s="64"/>
      <c r="Y104" s="65"/>
      <c r="Z104" s="27"/>
      <c r="AA104" s="27"/>
      <c r="AB104" s="27"/>
      <c r="AC104" s="27"/>
      <c r="AD104" s="27"/>
      <c r="AE104" s="130"/>
      <c r="AF104" s="27"/>
      <c r="AG104" s="163">
        <v>66</v>
      </c>
      <c r="AH104" s="164">
        <v>2.0701853045065298E-3</v>
      </c>
      <c r="AI104" s="164">
        <v>2.5431869795353701E-3</v>
      </c>
      <c r="AJ104" s="35"/>
      <c r="AK104" s="163">
        <v>66</v>
      </c>
      <c r="AL104" s="164">
        <v>2.0701853045065298E-3</v>
      </c>
      <c r="AM104" s="164">
        <v>2.5431869795353701E-3</v>
      </c>
      <c r="AN104" s="35"/>
      <c r="AO104" s="163">
        <v>66</v>
      </c>
      <c r="AP104" s="164">
        <v>2.0701853045065298E-3</v>
      </c>
      <c r="AQ104" s="164">
        <v>2.5431869795353701E-3</v>
      </c>
      <c r="AR104" s="28"/>
      <c r="AT104" s="130"/>
      <c r="AW104" s="27"/>
    </row>
    <row r="105" spans="1:49" s="1" customFormat="1">
      <c r="A105" s="42"/>
      <c r="B105" s="24">
        <v>99</v>
      </c>
      <c r="C105" s="25">
        <v>1.33268359340574E-2</v>
      </c>
      <c r="D105" s="25">
        <v>2.1375355891336E-2</v>
      </c>
      <c r="F105" s="27"/>
      <c r="G105" s="130"/>
      <c r="H105" s="28"/>
      <c r="I105" s="24">
        <v>44</v>
      </c>
      <c r="J105" s="25">
        <v>2.0096597825514079E-4</v>
      </c>
      <c r="K105" s="25">
        <v>5.0275851635062086E-4</v>
      </c>
      <c r="M105" s="24">
        <v>44</v>
      </c>
      <c r="N105" s="25">
        <v>2.0096597825514079E-4</v>
      </c>
      <c r="O105" s="25">
        <v>5.0275851635062086E-4</v>
      </c>
      <c r="Q105" s="24">
        <v>44</v>
      </c>
      <c r="R105" s="25">
        <v>2.0096597825514079E-4</v>
      </c>
      <c r="S105" s="25">
        <v>5.0275851635062086E-4</v>
      </c>
      <c r="T105" s="28"/>
      <c r="U105" s="130"/>
      <c r="V105" s="27"/>
      <c r="W105" s="27"/>
      <c r="X105" s="64"/>
      <c r="Y105" s="65"/>
      <c r="Z105" s="27"/>
      <c r="AA105" s="27"/>
      <c r="AB105" s="27"/>
      <c r="AC105" s="27"/>
      <c r="AD105" s="27"/>
      <c r="AE105" s="130"/>
      <c r="AF105" s="27"/>
      <c r="AG105" s="163">
        <v>67</v>
      </c>
      <c r="AH105" s="164">
        <v>2.06144083795001E-3</v>
      </c>
      <c r="AI105" s="164">
        <v>2.4999274480387301E-3</v>
      </c>
      <c r="AJ105" s="35"/>
      <c r="AK105" s="163">
        <v>67</v>
      </c>
      <c r="AL105" s="164">
        <v>2.06144083795001E-3</v>
      </c>
      <c r="AM105" s="164">
        <v>2.4999274480387301E-3</v>
      </c>
      <c r="AN105" s="35"/>
      <c r="AO105" s="163">
        <v>67</v>
      </c>
      <c r="AP105" s="164">
        <v>2.06144083795001E-3</v>
      </c>
      <c r="AQ105" s="164">
        <v>2.4999274480387301E-3</v>
      </c>
      <c r="AR105" s="28"/>
      <c r="AT105" s="130"/>
      <c r="AW105" s="27"/>
    </row>
    <row r="106" spans="1:49" s="1" customFormat="1">
      <c r="B106" s="24">
        <v>100</v>
      </c>
      <c r="C106" s="25">
        <v>1</v>
      </c>
      <c r="D106" s="25">
        <v>1</v>
      </c>
      <c r="F106" s="27"/>
      <c r="G106" s="130"/>
      <c r="H106" s="28"/>
      <c r="I106" s="24">
        <v>45</v>
      </c>
      <c r="J106" s="25">
        <v>2.9358792179454726E-4</v>
      </c>
      <c r="K106" s="25">
        <v>7.6914772270537685E-4</v>
      </c>
      <c r="M106" s="24">
        <v>45</v>
      </c>
      <c r="N106" s="25">
        <v>2.9358792179454726E-4</v>
      </c>
      <c r="O106" s="25">
        <v>7.6914772270537685E-4</v>
      </c>
      <c r="Q106" s="24">
        <v>45</v>
      </c>
      <c r="R106" s="25">
        <v>2.9358792179454726E-4</v>
      </c>
      <c r="S106" s="25">
        <v>7.6914772270537685E-4</v>
      </c>
      <c r="T106" s="28"/>
      <c r="U106" s="130"/>
      <c r="V106" s="27"/>
      <c r="W106" s="27"/>
      <c r="X106" s="64"/>
      <c r="Y106" s="65"/>
      <c r="Z106" s="27"/>
      <c r="AA106" s="27"/>
      <c r="AB106" s="27"/>
      <c r="AC106" s="27"/>
      <c r="AD106" s="27"/>
      <c r="AE106" s="130"/>
      <c r="AF106" s="27"/>
      <c r="AG106" s="163">
        <v>68</v>
      </c>
      <c r="AH106" s="164">
        <v>2.0529425360039698E-3</v>
      </c>
      <c r="AI106" s="164">
        <v>2.4601282279680401E-3</v>
      </c>
      <c r="AJ106" s="35"/>
      <c r="AK106" s="163">
        <v>68</v>
      </c>
      <c r="AL106" s="164">
        <v>2.0529425360039698E-3</v>
      </c>
      <c r="AM106" s="164">
        <v>2.4601282279680401E-3</v>
      </c>
      <c r="AN106" s="35"/>
      <c r="AO106" s="163">
        <v>68</v>
      </c>
      <c r="AP106" s="164">
        <v>2.0529425360039698E-3</v>
      </c>
      <c r="AQ106" s="164">
        <v>2.4601282279680401E-3</v>
      </c>
      <c r="AR106" s="28"/>
      <c r="AT106" s="130"/>
      <c r="AW106" s="27"/>
    </row>
    <row r="107" spans="1:49" s="1" customFormat="1">
      <c r="F107" s="27"/>
      <c r="G107" s="130"/>
      <c r="H107" s="28"/>
      <c r="I107" s="24">
        <v>46</v>
      </c>
      <c r="J107" s="25">
        <v>2.9200067638841522E-4</v>
      </c>
      <c r="K107" s="25">
        <v>7.6239315187640565E-4</v>
      </c>
      <c r="M107" s="24">
        <v>46</v>
      </c>
      <c r="N107" s="25">
        <v>2.9200067638841522E-4</v>
      </c>
      <c r="O107" s="25">
        <v>7.6239315187640565E-4</v>
      </c>
      <c r="Q107" s="24">
        <v>46</v>
      </c>
      <c r="R107" s="25">
        <v>2.9200067638841522E-4</v>
      </c>
      <c r="S107" s="25">
        <v>7.6239315187640565E-4</v>
      </c>
      <c r="T107" s="28"/>
      <c r="U107" s="130"/>
      <c r="V107" s="27"/>
      <c r="W107" s="27"/>
      <c r="X107" s="64"/>
      <c r="Y107" s="65"/>
      <c r="Z107" s="27"/>
      <c r="AA107" s="27"/>
      <c r="AB107" s="27"/>
      <c r="AC107" s="27"/>
      <c r="AD107" s="27"/>
      <c r="AE107" s="130"/>
      <c r="AF107" s="27"/>
      <c r="AG107" s="163">
        <v>69</v>
      </c>
      <c r="AH107" s="164">
        <v>2.04468439818462E-3</v>
      </c>
      <c r="AI107" s="164">
        <v>2.4235477511319599E-3</v>
      </c>
      <c r="AJ107" s="35"/>
      <c r="AK107" s="163">
        <v>69</v>
      </c>
      <c r="AL107" s="164">
        <v>2.04468439818462E-3</v>
      </c>
      <c r="AM107" s="164">
        <v>2.4235477511319599E-3</v>
      </c>
      <c r="AN107" s="35"/>
      <c r="AO107" s="163">
        <v>69</v>
      </c>
      <c r="AP107" s="164">
        <v>2.04468439818462E-3</v>
      </c>
      <c r="AQ107" s="164">
        <v>2.4235477511319599E-3</v>
      </c>
      <c r="AR107" s="28"/>
      <c r="AT107" s="130"/>
      <c r="AW107" s="27"/>
    </row>
    <row r="108" spans="1:49" s="1" customFormat="1">
      <c r="F108" s="27"/>
      <c r="G108" s="130"/>
      <c r="H108" s="28"/>
      <c r="I108" s="24">
        <v>47</v>
      </c>
      <c r="J108" s="25">
        <v>2.904280115694216E-4</v>
      </c>
      <c r="K108" s="25">
        <v>7.5576633609877278E-4</v>
      </c>
      <c r="M108" s="24">
        <v>47</v>
      </c>
      <c r="N108" s="25">
        <v>2.904280115694216E-4</v>
      </c>
      <c r="O108" s="25">
        <v>7.5576633609877278E-4</v>
      </c>
      <c r="Q108" s="24">
        <v>47</v>
      </c>
      <c r="R108" s="25">
        <v>2.904280115694216E-4</v>
      </c>
      <c r="S108" s="25">
        <v>7.5576633609877278E-4</v>
      </c>
      <c r="T108" s="28"/>
      <c r="U108" s="130"/>
      <c r="V108" s="27"/>
      <c r="W108" s="27"/>
      <c r="X108" s="64"/>
      <c r="Y108" s="65"/>
      <c r="Z108" s="27"/>
      <c r="AA108" s="27"/>
      <c r="AB108" s="27"/>
      <c r="AC108" s="27"/>
      <c r="AD108" s="27"/>
      <c r="AE108" s="130"/>
      <c r="AF108" s="27"/>
      <c r="AG108" s="163">
        <v>70</v>
      </c>
      <c r="AH108" s="164">
        <v>3.1732554716498202E-3</v>
      </c>
      <c r="AI108" s="164">
        <v>3.78483231922544E-3</v>
      </c>
      <c r="AJ108" s="35"/>
      <c r="AK108" s="163">
        <v>70</v>
      </c>
      <c r="AL108" s="164">
        <v>3.1732554716498202E-3</v>
      </c>
      <c r="AM108" s="164">
        <v>3.78483231922544E-3</v>
      </c>
      <c r="AN108" s="35"/>
      <c r="AO108" s="163">
        <v>70</v>
      </c>
      <c r="AP108" s="164">
        <v>3.1732554716498202E-3</v>
      </c>
      <c r="AQ108" s="164">
        <v>3.78483231922544E-3</v>
      </c>
      <c r="AR108" s="28"/>
      <c r="AT108" s="130"/>
      <c r="AW108" s="27"/>
    </row>
    <row r="109" spans="1:49" s="1" customFormat="1">
      <c r="A109" s="42"/>
      <c r="F109" s="27"/>
      <c r="G109" s="130"/>
      <c r="H109" s="28"/>
      <c r="I109" s="24">
        <v>48</v>
      </c>
      <c r="J109" s="25">
        <v>2.888698517153008E-4</v>
      </c>
      <c r="K109" s="25">
        <v>7.4926615374186804E-4</v>
      </c>
      <c r="M109" s="24">
        <v>48</v>
      </c>
      <c r="N109" s="25">
        <v>2.888698517153008E-4</v>
      </c>
      <c r="O109" s="25">
        <v>7.4926615374186804E-4</v>
      </c>
      <c r="Q109" s="24">
        <v>48</v>
      </c>
      <c r="R109" s="25">
        <v>2.888698517153008E-4</v>
      </c>
      <c r="S109" s="25">
        <v>7.4926615374186804E-4</v>
      </c>
      <c r="T109" s="28"/>
      <c r="U109" s="130"/>
      <c r="V109" s="27"/>
      <c r="W109" s="27"/>
      <c r="X109" s="64"/>
      <c r="Y109" s="65"/>
      <c r="Z109" s="27"/>
      <c r="AA109" s="27"/>
      <c r="AB109" s="27"/>
      <c r="AC109" s="27"/>
      <c r="AD109" s="27"/>
      <c r="AE109" s="130"/>
      <c r="AF109" s="27"/>
      <c r="AG109" s="24">
        <v>71</v>
      </c>
      <c r="AH109" s="25">
        <v>3.1545938525220402E-3</v>
      </c>
      <c r="AI109" s="25">
        <v>3.7107525745043702E-3</v>
      </c>
      <c r="AK109" s="24">
        <v>71</v>
      </c>
      <c r="AL109" s="164">
        <v>3.1545938525220402E-3</v>
      </c>
      <c r="AM109" s="164">
        <v>3.7107525745043702E-3</v>
      </c>
      <c r="AO109" s="24">
        <v>71</v>
      </c>
      <c r="AP109" s="164">
        <v>3.1545938525220402E-3</v>
      </c>
      <c r="AQ109" s="164">
        <v>3.7107525745043702E-3</v>
      </c>
      <c r="AR109" s="28"/>
      <c r="AT109" s="130"/>
      <c r="AW109" s="27"/>
    </row>
    <row r="110" spans="1:49" s="1" customFormat="1">
      <c r="A110" s="42"/>
      <c r="B110" s="27"/>
      <c r="F110" s="27"/>
      <c r="G110" s="130"/>
      <c r="H110" s="28"/>
      <c r="I110" s="24">
        <v>49</v>
      </c>
      <c r="J110" s="25">
        <v>2.8732612012563038E-4</v>
      </c>
      <c r="K110" s="25">
        <v>7.4289143039738556E-4</v>
      </c>
      <c r="M110" s="24">
        <v>49</v>
      </c>
      <c r="N110" s="25">
        <v>2.8732612012563038E-4</v>
      </c>
      <c r="O110" s="25">
        <v>7.4289143039738556E-4</v>
      </c>
      <c r="Q110" s="24">
        <v>49</v>
      </c>
      <c r="R110" s="25">
        <v>2.8732612012563038E-4</v>
      </c>
      <c r="S110" s="25">
        <v>7.4289143039738556E-4</v>
      </c>
      <c r="T110" s="28"/>
      <c r="U110" s="130"/>
      <c r="V110" s="27"/>
      <c r="W110" s="27"/>
      <c r="X110" s="64"/>
      <c r="Y110" s="65"/>
      <c r="Z110" s="27"/>
      <c r="AA110" s="27"/>
      <c r="AB110" s="27"/>
      <c r="AC110" s="27"/>
      <c r="AD110" s="27"/>
      <c r="AE110" s="130"/>
      <c r="AF110" s="27"/>
      <c r="AG110" s="24">
        <v>72</v>
      </c>
      <c r="AH110" s="25">
        <v>3.1367588584849701E-3</v>
      </c>
      <c r="AI110" s="25">
        <v>3.6462831550481099E-3</v>
      </c>
      <c r="AK110" s="24">
        <v>72</v>
      </c>
      <c r="AL110" s="164">
        <v>3.1367588584849701E-3</v>
      </c>
      <c r="AM110" s="164">
        <v>3.6462831550481099E-3</v>
      </c>
      <c r="AO110" s="24">
        <v>72</v>
      </c>
      <c r="AP110" s="164">
        <v>3.1367588584849701E-3</v>
      </c>
      <c r="AQ110" s="164">
        <v>3.6462831550481099E-3</v>
      </c>
      <c r="AR110" s="28"/>
      <c r="AT110" s="130"/>
      <c r="AW110" s="27"/>
    </row>
    <row r="111" spans="1:49" s="1" customFormat="1">
      <c r="A111" s="42"/>
      <c r="B111" s="27"/>
      <c r="F111" s="27"/>
      <c r="G111" s="130"/>
      <c r="H111" s="28"/>
      <c r="I111" s="24">
        <v>50</v>
      </c>
      <c r="J111" s="25">
        <v>4.6115249842770801E-4</v>
      </c>
      <c r="K111" s="25">
        <v>1.1850488591437442E-3</v>
      </c>
      <c r="M111" s="24">
        <v>50</v>
      </c>
      <c r="N111" s="25">
        <v>4.6115249842770801E-4</v>
      </c>
      <c r="O111" s="25">
        <v>1.1850488591437442E-3</v>
      </c>
      <c r="Q111" s="24">
        <v>50</v>
      </c>
      <c r="R111" s="25">
        <v>4.6115249842770801E-4</v>
      </c>
      <c r="S111" s="25">
        <v>1.1850488591437442E-3</v>
      </c>
      <c r="T111" s="28"/>
      <c r="U111" s="130"/>
      <c r="V111" s="27"/>
      <c r="W111" s="27"/>
      <c r="X111" s="64"/>
      <c r="Y111" s="65"/>
      <c r="Z111" s="27"/>
      <c r="AA111" s="27"/>
      <c r="AB111" s="27"/>
      <c r="AC111" s="27"/>
      <c r="AD111" s="27"/>
      <c r="AE111" s="130"/>
      <c r="AF111" s="27"/>
      <c r="AG111" s="24">
        <v>73</v>
      </c>
      <c r="AH111" s="25">
        <v>3.1197171492884901E-3</v>
      </c>
      <c r="AI111" s="25">
        <v>3.59026528244522E-3</v>
      </c>
      <c r="AK111" s="24">
        <v>73</v>
      </c>
      <c r="AL111" s="164">
        <v>3.1197171492884901E-3</v>
      </c>
      <c r="AM111" s="164">
        <v>3.59026528244522E-3</v>
      </c>
      <c r="AO111" s="24">
        <v>73</v>
      </c>
      <c r="AP111" s="164">
        <v>3.1197171492884901E-3</v>
      </c>
      <c r="AQ111" s="164">
        <v>3.59026528244522E-3</v>
      </c>
      <c r="AR111" s="28"/>
      <c r="AT111" s="130"/>
      <c r="AW111" s="27"/>
    </row>
    <row r="112" spans="1:49" s="1" customFormat="1">
      <c r="A112" s="42"/>
      <c r="B112" s="27"/>
      <c r="F112" s="27"/>
      <c r="G112" s="130"/>
      <c r="H112" s="28"/>
      <c r="I112" s="24">
        <v>51</v>
      </c>
      <c r="J112" s="25">
        <v>4.5721766313384644E-4</v>
      </c>
      <c r="K112" s="25">
        <v>1.169303504362952E-3</v>
      </c>
      <c r="M112" s="24">
        <v>51</v>
      </c>
      <c r="N112" s="25">
        <v>4.5721766313384644E-4</v>
      </c>
      <c r="O112" s="25">
        <v>1.169303504362952E-3</v>
      </c>
      <c r="Q112" s="24">
        <v>51</v>
      </c>
      <c r="R112" s="25">
        <v>4.5721766313384644E-4</v>
      </c>
      <c r="S112" s="25">
        <v>1.169303504362952E-3</v>
      </c>
      <c r="T112" s="28"/>
      <c r="U112" s="130"/>
      <c r="V112" s="27"/>
      <c r="W112" s="27"/>
      <c r="X112" s="64"/>
      <c r="Y112" s="65"/>
      <c r="Z112" s="27"/>
      <c r="AA112" s="27"/>
      <c r="AB112" s="27"/>
      <c r="AC112" s="27"/>
      <c r="AD112" s="27"/>
      <c r="AE112" s="130"/>
      <c r="AF112" s="27"/>
      <c r="AG112" s="24">
        <v>74</v>
      </c>
      <c r="AH112" s="25">
        <v>3.1034361886044201E-3</v>
      </c>
      <c r="AI112" s="25">
        <v>3.5416573361718401E-3</v>
      </c>
      <c r="AK112" s="24">
        <v>74</v>
      </c>
      <c r="AL112" s="164">
        <v>3.1034361886044201E-3</v>
      </c>
      <c r="AM112" s="164">
        <v>3.5416573361718401E-3</v>
      </c>
      <c r="AO112" s="24">
        <v>74</v>
      </c>
      <c r="AP112" s="164">
        <v>3.1034361886044201E-3</v>
      </c>
      <c r="AQ112" s="164">
        <v>3.5416573361718401E-3</v>
      </c>
      <c r="AR112" s="28"/>
      <c r="AT112" s="130"/>
      <c r="AW112" s="27"/>
    </row>
    <row r="113" spans="1:49" s="1" customFormat="1">
      <c r="A113" s="42"/>
      <c r="B113" s="27"/>
      <c r="E113" s="27"/>
      <c r="F113" s="27"/>
      <c r="G113" s="130"/>
      <c r="H113" s="28"/>
      <c r="I113" s="24">
        <v>52</v>
      </c>
      <c r="J113" s="25">
        <v>4.5334242785166645E-4</v>
      </c>
      <c r="K113" s="25">
        <v>1.154063319427936E-3</v>
      </c>
      <c r="M113" s="24">
        <v>52</v>
      </c>
      <c r="N113" s="25">
        <v>4.5334242785166645E-4</v>
      </c>
      <c r="O113" s="25">
        <v>1.154063319427936E-3</v>
      </c>
      <c r="Q113" s="24">
        <v>52</v>
      </c>
      <c r="R113" s="25">
        <v>4.5334242785166645E-4</v>
      </c>
      <c r="S113" s="25">
        <v>1.154063319427936E-3</v>
      </c>
      <c r="T113" s="28"/>
      <c r="U113" s="130"/>
      <c r="V113" s="27"/>
      <c r="W113" s="27"/>
      <c r="X113" s="64"/>
      <c r="Y113" s="65"/>
      <c r="Z113" s="27"/>
      <c r="AA113" s="27"/>
      <c r="AB113" s="27"/>
      <c r="AC113" s="27"/>
      <c r="AD113" s="27"/>
      <c r="AE113" s="130"/>
      <c r="AF113" s="27"/>
      <c r="AG113" s="24">
        <v>75</v>
      </c>
      <c r="AH113" s="25">
        <v>4.6987562696929599E-3</v>
      </c>
      <c r="AI113" s="25">
        <v>5.4585487645655304E-3</v>
      </c>
      <c r="AK113" s="24">
        <v>75</v>
      </c>
      <c r="AL113" s="164">
        <v>4.6987562696929599E-3</v>
      </c>
      <c r="AM113" s="164">
        <v>5.4585487645655304E-3</v>
      </c>
      <c r="AO113" s="24">
        <v>75</v>
      </c>
      <c r="AP113" s="164">
        <v>4.6987562696929599E-3</v>
      </c>
      <c r="AQ113" s="164">
        <v>5.4585487645655304E-3</v>
      </c>
      <c r="AR113" s="28"/>
      <c r="AT113" s="130"/>
      <c r="AW113" s="27"/>
    </row>
    <row r="114" spans="1:49" s="1" customFormat="1">
      <c r="A114" s="43"/>
      <c r="B114" s="27"/>
      <c r="C114" s="27"/>
      <c r="D114" s="27"/>
      <c r="E114" s="27"/>
      <c r="F114" s="27"/>
      <c r="G114" s="130"/>
      <c r="H114" s="28"/>
      <c r="I114" s="24">
        <v>53</v>
      </c>
      <c r="J114" s="25">
        <v>4.4952623554479526E-4</v>
      </c>
      <c r="K114" s="25">
        <v>1.1393188594958322E-3</v>
      </c>
      <c r="M114" s="24">
        <v>53</v>
      </c>
      <c r="N114" s="25">
        <v>4.4952623554479526E-4</v>
      </c>
      <c r="O114" s="25">
        <v>1.1393188594958322E-3</v>
      </c>
      <c r="Q114" s="24">
        <v>53</v>
      </c>
      <c r="R114" s="25">
        <v>4.4952623554479526E-4</v>
      </c>
      <c r="S114" s="25">
        <v>1.1393188594958322E-3</v>
      </c>
      <c r="T114" s="28"/>
      <c r="U114" s="130"/>
      <c r="V114" s="27"/>
      <c r="W114" s="27"/>
      <c r="X114" s="64"/>
      <c r="Y114" s="65"/>
      <c r="Z114" s="27"/>
      <c r="AA114" s="27"/>
      <c r="AB114" s="27"/>
      <c r="AC114" s="27"/>
      <c r="AD114" s="27"/>
      <c r="AE114" s="130"/>
      <c r="AF114" s="27"/>
      <c r="AG114" s="24">
        <v>76</v>
      </c>
      <c r="AH114" s="25">
        <v>4.6650902675176003E-3</v>
      </c>
      <c r="AI114" s="25">
        <v>5.3760932487368898E-3</v>
      </c>
      <c r="AK114" s="24">
        <v>76</v>
      </c>
      <c r="AL114" s="164">
        <v>4.6650902675176003E-3</v>
      </c>
      <c r="AM114" s="164">
        <v>5.3760932487368898E-3</v>
      </c>
      <c r="AO114" s="24">
        <v>76</v>
      </c>
      <c r="AP114" s="164">
        <v>4.6650902675176003E-3</v>
      </c>
      <c r="AQ114" s="164">
        <v>5.3760932487368898E-3</v>
      </c>
      <c r="AR114" s="28"/>
      <c r="AT114" s="130"/>
      <c r="AW114" s="27"/>
    </row>
    <row r="115" spans="1:49" s="1" customFormat="1">
      <c r="A115" s="43"/>
      <c r="B115" s="27"/>
      <c r="C115" s="27"/>
      <c r="D115" s="27"/>
      <c r="E115" s="27"/>
      <c r="F115" s="27"/>
      <c r="G115" s="130"/>
      <c r="H115" s="28"/>
      <c r="I115" s="24">
        <v>54</v>
      </c>
      <c r="J115" s="25">
        <v>4.4576852015119038E-4</v>
      </c>
      <c r="K115" s="25">
        <v>1.125060327180712E-3</v>
      </c>
      <c r="M115" s="24">
        <v>54</v>
      </c>
      <c r="N115" s="25">
        <v>4.4576852015119038E-4</v>
      </c>
      <c r="O115" s="25">
        <v>1.125060327180712E-3</v>
      </c>
      <c r="Q115" s="24">
        <v>54</v>
      </c>
      <c r="R115" s="25">
        <v>4.4576852015119038E-4</v>
      </c>
      <c r="S115" s="25">
        <v>1.125060327180712E-3</v>
      </c>
      <c r="T115" s="28"/>
      <c r="U115" s="130"/>
      <c r="V115" s="27"/>
      <c r="W115" s="27"/>
      <c r="X115" s="64"/>
      <c r="Y115" s="65"/>
      <c r="Z115" s="27"/>
      <c r="AA115" s="27"/>
      <c r="AB115" s="27"/>
      <c r="AC115" s="27"/>
      <c r="AD115" s="27"/>
      <c r="AE115" s="130"/>
      <c r="AF115" s="27"/>
      <c r="AG115" s="24">
        <v>77</v>
      </c>
      <c r="AH115" s="25">
        <v>4.6337094049820901E-3</v>
      </c>
      <c r="AI115" s="25">
        <v>5.3104473252334498E-3</v>
      </c>
      <c r="AK115" s="24">
        <v>77</v>
      </c>
      <c r="AL115" s="164">
        <v>4.6337094049820901E-3</v>
      </c>
      <c r="AM115" s="164">
        <v>5.3104473252334498E-3</v>
      </c>
      <c r="AO115" s="24">
        <v>77</v>
      </c>
      <c r="AP115" s="164">
        <v>4.6337094049820901E-3</v>
      </c>
      <c r="AQ115" s="164">
        <v>5.3104473252334498E-3</v>
      </c>
      <c r="AR115" s="28"/>
      <c r="AT115" s="130"/>
      <c r="AW115" s="27"/>
    </row>
    <row r="116" spans="1:49" s="1" customFormat="1">
      <c r="A116" s="43"/>
      <c r="B116" s="27"/>
      <c r="C116" s="27"/>
      <c r="D116" s="27"/>
      <c r="E116" s="27"/>
      <c r="F116" s="27"/>
      <c r="G116" s="130"/>
      <c r="H116" s="28"/>
      <c r="I116" s="24">
        <v>55</v>
      </c>
      <c r="J116" s="25">
        <v>7.4283734770537197E-4</v>
      </c>
      <c r="K116" s="25">
        <v>1.8048848148483282E-3</v>
      </c>
      <c r="M116" s="24">
        <v>55</v>
      </c>
      <c r="N116" s="25">
        <v>7.4283734770537197E-4</v>
      </c>
      <c r="O116" s="25">
        <v>1.8048848148483282E-3</v>
      </c>
      <c r="Q116" s="24">
        <v>55</v>
      </c>
      <c r="R116" s="25">
        <v>7.4283734770537197E-4</v>
      </c>
      <c r="S116" s="25">
        <v>1.8048848148483282E-3</v>
      </c>
      <c r="T116" s="28"/>
      <c r="U116" s="130"/>
      <c r="V116" s="27"/>
      <c r="W116" s="27"/>
      <c r="X116" s="64"/>
      <c r="Y116" s="65"/>
      <c r="Z116" s="27"/>
      <c r="AA116" s="27"/>
      <c r="AB116" s="27"/>
      <c r="AC116" s="27"/>
      <c r="AD116" s="27"/>
      <c r="AE116" s="130"/>
      <c r="AF116" s="27"/>
      <c r="AG116" s="24">
        <v>78</v>
      </c>
      <c r="AH116" s="25">
        <v>4.6044628528100198E-3</v>
      </c>
      <c r="AI116" s="25">
        <v>5.2582687208687596E-3</v>
      </c>
      <c r="AK116" s="24">
        <v>78</v>
      </c>
      <c r="AL116" s="164">
        <v>4.6044628528100198E-3</v>
      </c>
      <c r="AM116" s="164">
        <v>5.2582687208687596E-3</v>
      </c>
      <c r="AO116" s="24">
        <v>78</v>
      </c>
      <c r="AP116" s="164">
        <v>4.6044628528100198E-3</v>
      </c>
      <c r="AQ116" s="164">
        <v>5.2582687208687596E-3</v>
      </c>
      <c r="AR116" s="28"/>
      <c r="AT116" s="130"/>
      <c r="AW116" s="27"/>
    </row>
    <row r="117" spans="1:49" s="1" customFormat="1">
      <c r="A117" s="43"/>
      <c r="B117" s="27"/>
      <c r="C117" s="27"/>
      <c r="D117" s="27"/>
      <c r="E117" s="27"/>
      <c r="F117" s="27"/>
      <c r="G117" s="130"/>
      <c r="H117" s="28"/>
      <c r="I117" s="24">
        <v>56</v>
      </c>
      <c r="J117" s="25">
        <v>6.6052836704564319E-4</v>
      </c>
      <c r="K117" s="25">
        <v>8.8982675299096009E-4</v>
      </c>
      <c r="M117" s="24">
        <v>56</v>
      </c>
      <c r="N117" s="25">
        <v>6.6052836704564319E-4</v>
      </c>
      <c r="O117" s="25">
        <v>8.8982675299096009E-4</v>
      </c>
      <c r="Q117" s="24">
        <v>56</v>
      </c>
      <c r="R117" s="25">
        <v>6.6052836704564319E-4</v>
      </c>
      <c r="S117" s="25">
        <v>8.8982675299096009E-4</v>
      </c>
      <c r="T117" s="28"/>
      <c r="U117" s="130"/>
      <c r="V117" s="27"/>
      <c r="W117" s="27"/>
      <c r="X117" s="64"/>
      <c r="Y117" s="65"/>
      <c r="Z117" s="27"/>
      <c r="AA117" s="27"/>
      <c r="AB117" s="27"/>
      <c r="AC117" s="27"/>
      <c r="AD117" s="27"/>
      <c r="AE117" s="130"/>
      <c r="AF117" s="27"/>
      <c r="AG117" s="24">
        <v>79</v>
      </c>
      <c r="AH117" s="25">
        <v>4.5772076248350403E-3</v>
      </c>
      <c r="AI117" s="25">
        <v>5.2168479744577603E-3</v>
      </c>
      <c r="AK117" s="24">
        <v>79</v>
      </c>
      <c r="AL117" s="164">
        <v>4.5772076248350403E-3</v>
      </c>
      <c r="AM117" s="164">
        <v>5.2168479744577603E-3</v>
      </c>
      <c r="AO117" s="24">
        <v>79</v>
      </c>
      <c r="AP117" s="164">
        <v>4.5772076248350403E-3</v>
      </c>
      <c r="AQ117" s="164">
        <v>5.2168479744577603E-3</v>
      </c>
      <c r="AR117" s="28"/>
      <c r="AT117" s="130"/>
      <c r="AW117" s="27"/>
    </row>
    <row r="118" spans="1:49" s="1" customFormat="1">
      <c r="A118" s="43"/>
      <c r="B118" s="27"/>
      <c r="C118" s="27"/>
      <c r="D118" s="27"/>
      <c r="E118" s="27"/>
      <c r="F118" s="27"/>
      <c r="G118" s="130"/>
      <c r="H118" s="28"/>
      <c r="I118" s="24">
        <v>57</v>
      </c>
      <c r="J118" s="25">
        <v>6.5927123419395927E-4</v>
      </c>
      <c r="K118" s="25">
        <v>8.8140310880717606E-4</v>
      </c>
      <c r="M118" s="24">
        <v>57</v>
      </c>
      <c r="N118" s="25">
        <v>6.5927123419395927E-4</v>
      </c>
      <c r="O118" s="25">
        <v>8.8140310880717606E-4</v>
      </c>
      <c r="Q118" s="24">
        <v>57</v>
      </c>
      <c r="R118" s="25">
        <v>6.5927123419395927E-4</v>
      </c>
      <c r="S118" s="25">
        <v>8.8140310880717606E-4</v>
      </c>
      <c r="T118" s="28"/>
      <c r="U118" s="130"/>
      <c r="V118" s="27"/>
      <c r="W118" s="27"/>
      <c r="X118" s="64"/>
      <c r="Y118" s="65"/>
      <c r="Z118" s="27"/>
      <c r="AA118" s="27"/>
      <c r="AB118" s="27"/>
      <c r="AC118" s="27"/>
      <c r="AD118" s="27"/>
      <c r="AE118" s="130"/>
      <c r="AF118" s="27"/>
      <c r="AG118" s="24">
        <v>80</v>
      </c>
      <c r="AH118" s="25">
        <v>6.6887831799128401E-3</v>
      </c>
      <c r="AI118" s="25">
        <v>7.9010921998996508E-3</v>
      </c>
      <c r="AK118" s="24">
        <v>80</v>
      </c>
      <c r="AL118" s="164">
        <v>6.6887831799128401E-3</v>
      </c>
      <c r="AM118" s="164">
        <v>7.9010921998996508E-3</v>
      </c>
      <c r="AO118" s="24">
        <v>80</v>
      </c>
      <c r="AP118" s="164">
        <v>6.6887831799128401E-3</v>
      </c>
      <c r="AQ118" s="164">
        <v>7.9010921998996508E-3</v>
      </c>
      <c r="AR118" s="28"/>
      <c r="AT118" s="130"/>
      <c r="AW118" s="27"/>
    </row>
    <row r="119" spans="1:49" s="1" customFormat="1">
      <c r="A119" s="43"/>
      <c r="B119" s="27"/>
      <c r="C119" s="27"/>
      <c r="D119" s="27"/>
      <c r="E119" s="27"/>
      <c r="F119" s="27"/>
      <c r="G119" s="130"/>
      <c r="H119" s="28"/>
      <c r="I119" s="24">
        <v>58</v>
      </c>
      <c r="J119" s="25">
        <v>6.5802749727526008E-4</v>
      </c>
      <c r="K119" s="25">
        <v>8.7321838526444007E-4</v>
      </c>
      <c r="M119" s="24">
        <v>58</v>
      </c>
      <c r="N119" s="25">
        <v>6.5802749727526008E-4</v>
      </c>
      <c r="O119" s="25">
        <v>8.7321838526444007E-4</v>
      </c>
      <c r="Q119" s="24">
        <v>58</v>
      </c>
      <c r="R119" s="25">
        <v>6.5802749727526008E-4</v>
      </c>
      <c r="S119" s="25">
        <v>8.7321838526444007E-4</v>
      </c>
      <c r="T119" s="28"/>
      <c r="U119" s="130"/>
      <c r="V119" s="27"/>
      <c r="W119" s="27"/>
      <c r="X119" s="64"/>
      <c r="Y119" s="65"/>
      <c r="Z119" s="27"/>
      <c r="AA119" s="27"/>
      <c r="AB119" s="27"/>
      <c r="AC119" s="27"/>
      <c r="AD119" s="27"/>
      <c r="AE119" s="130"/>
      <c r="AF119" s="27"/>
      <c r="AG119" s="24">
        <v>81</v>
      </c>
      <c r="AH119" s="25">
        <v>6.6391964339212999E-3</v>
      </c>
      <c r="AI119" s="25">
        <v>7.8471715857412194E-3</v>
      </c>
      <c r="AK119" s="24">
        <v>81</v>
      </c>
      <c r="AL119" s="164">
        <v>6.6391964339212999E-3</v>
      </c>
      <c r="AM119" s="164">
        <v>7.8471715857412194E-3</v>
      </c>
      <c r="AO119" s="24">
        <v>81</v>
      </c>
      <c r="AP119" s="164">
        <v>6.6391964339212999E-3</v>
      </c>
      <c r="AQ119" s="164">
        <v>7.8471715857412194E-3</v>
      </c>
      <c r="AR119" s="28"/>
      <c r="AT119" s="130"/>
      <c r="AW119" s="27"/>
    </row>
    <row r="120" spans="1:49" s="1" customFormat="1">
      <c r="A120" s="43"/>
      <c r="B120" s="27"/>
      <c r="C120" s="27"/>
      <c r="D120" s="27"/>
      <c r="E120" s="27"/>
      <c r="F120" s="27"/>
      <c r="G120" s="130"/>
      <c r="H120" s="28"/>
      <c r="I120" s="24">
        <v>59</v>
      </c>
      <c r="J120" s="25">
        <v>6.5679704384935522E-4</v>
      </c>
      <c r="K120" s="25">
        <v>8.6526776306916804E-4</v>
      </c>
      <c r="M120" s="24">
        <v>59</v>
      </c>
      <c r="N120" s="25">
        <v>6.5679704384935522E-4</v>
      </c>
      <c r="O120" s="25">
        <v>8.6526776306916804E-4</v>
      </c>
      <c r="Q120" s="24">
        <v>59</v>
      </c>
      <c r="R120" s="25">
        <v>6.5679704384935522E-4</v>
      </c>
      <c r="S120" s="25">
        <v>8.6526776306916804E-4</v>
      </c>
      <c r="T120" s="28"/>
      <c r="U120" s="130"/>
      <c r="V120" s="27"/>
      <c r="W120" s="27"/>
      <c r="X120" s="64"/>
      <c r="Y120" s="65"/>
      <c r="Z120" s="27"/>
      <c r="AA120" s="27"/>
      <c r="AB120" s="27"/>
      <c r="AC120" s="27"/>
      <c r="AD120" s="27"/>
      <c r="AE120" s="130"/>
      <c r="AF120" s="27"/>
      <c r="AG120" s="24">
        <v>82</v>
      </c>
      <c r="AH120" s="25">
        <v>6.5944856607221798E-3</v>
      </c>
      <c r="AI120" s="25">
        <v>7.8094473870647897E-3</v>
      </c>
      <c r="AK120" s="24">
        <v>82</v>
      </c>
      <c r="AL120" s="164">
        <v>6.5944856607221798E-3</v>
      </c>
      <c r="AM120" s="164">
        <v>7.8094473870647897E-3</v>
      </c>
      <c r="AO120" s="24">
        <v>82</v>
      </c>
      <c r="AP120" s="164">
        <v>6.5944856607221798E-3</v>
      </c>
      <c r="AQ120" s="164">
        <v>7.8094473870647897E-3</v>
      </c>
      <c r="AR120" s="28"/>
      <c r="AT120" s="130"/>
      <c r="AW120" s="27"/>
    </row>
    <row r="121" spans="1:49" s="1" customFormat="1">
      <c r="A121" s="43"/>
      <c r="B121" s="27"/>
      <c r="C121" s="27"/>
      <c r="D121" s="27"/>
      <c r="E121" s="27"/>
      <c r="F121" s="27"/>
      <c r="G121" s="130"/>
      <c r="H121" s="28"/>
      <c r="I121" s="24">
        <v>60</v>
      </c>
      <c r="J121" s="25">
        <v>1.0665272130178319E-3</v>
      </c>
      <c r="K121" s="25">
        <v>1.3822337449676402E-3</v>
      </c>
      <c r="M121" s="24">
        <v>60</v>
      </c>
      <c r="N121" s="25">
        <v>1.0665272130178319E-3</v>
      </c>
      <c r="O121" s="25">
        <v>1.3822337449676402E-3</v>
      </c>
      <c r="Q121" s="24">
        <v>60</v>
      </c>
      <c r="R121" s="25">
        <v>1.0665272130178319E-3</v>
      </c>
      <c r="S121" s="25">
        <v>1.3822337449676402E-3</v>
      </c>
      <c r="T121" s="28"/>
      <c r="U121" s="130"/>
      <c r="V121" s="27"/>
      <c r="W121" s="27"/>
      <c r="X121" s="64"/>
      <c r="Y121" s="65"/>
      <c r="Z121" s="27"/>
      <c r="AA121" s="27"/>
      <c r="AB121" s="27"/>
      <c r="AC121" s="27"/>
      <c r="AD121" s="27"/>
      <c r="AE121" s="130"/>
      <c r="AF121" s="27"/>
      <c r="AG121" s="24">
        <v>83</v>
      </c>
      <c r="AH121" s="25">
        <v>6.5541543162143103E-3</v>
      </c>
      <c r="AI121" s="25">
        <v>7.7830799017566399E-3</v>
      </c>
      <c r="AK121" s="24">
        <v>83</v>
      </c>
      <c r="AL121" s="164">
        <v>6.5541543162143103E-3</v>
      </c>
      <c r="AM121" s="164">
        <v>7.7830799017566399E-3</v>
      </c>
      <c r="AO121" s="24">
        <v>83</v>
      </c>
      <c r="AP121" s="164">
        <v>6.5541543162143103E-3</v>
      </c>
      <c r="AQ121" s="164">
        <v>7.7830799017566399E-3</v>
      </c>
      <c r="AR121" s="28"/>
      <c r="AT121" s="130"/>
      <c r="AW121" s="27"/>
    </row>
    <row r="122" spans="1:49" s="1" customFormat="1">
      <c r="A122" s="43"/>
      <c r="B122" s="27"/>
      <c r="C122" s="27"/>
      <c r="D122" s="27"/>
      <c r="E122" s="27"/>
      <c r="F122" s="27"/>
      <c r="G122" s="130"/>
      <c r="H122" s="28"/>
      <c r="I122" s="24">
        <v>61</v>
      </c>
      <c r="J122" s="25">
        <v>1.063357936799832E-3</v>
      </c>
      <c r="K122" s="25">
        <v>1.3630036812803522E-3</v>
      </c>
      <c r="M122" s="24">
        <v>61</v>
      </c>
      <c r="N122" s="25">
        <v>1.063357936799832E-3</v>
      </c>
      <c r="O122" s="25">
        <v>1.3630036812803522E-3</v>
      </c>
      <c r="Q122" s="24">
        <v>61</v>
      </c>
      <c r="R122" s="25">
        <v>1.063357936799832E-3</v>
      </c>
      <c r="S122" s="25">
        <v>1.3630036812803522E-3</v>
      </c>
      <c r="T122" s="28"/>
      <c r="U122" s="130"/>
      <c r="V122" s="27"/>
      <c r="W122" s="27"/>
      <c r="X122" s="64"/>
      <c r="Y122" s="65"/>
      <c r="Z122" s="27"/>
      <c r="AA122" s="27"/>
      <c r="AB122" s="27"/>
      <c r="AC122" s="27"/>
      <c r="AD122" s="27"/>
      <c r="AE122" s="130"/>
      <c r="AF122" s="27"/>
      <c r="AG122" s="24">
        <v>84</v>
      </c>
      <c r="AH122" s="25">
        <v>6.5177527073988504E-3</v>
      </c>
      <c r="AI122" s="25">
        <v>7.7646626444241003E-3</v>
      </c>
      <c r="AK122" s="24">
        <v>84</v>
      </c>
      <c r="AL122" s="164">
        <v>6.5177527073988504E-3</v>
      </c>
      <c r="AM122" s="164">
        <v>7.7646626444241003E-3</v>
      </c>
      <c r="AO122" s="24">
        <v>84</v>
      </c>
      <c r="AP122" s="164">
        <v>6.5177527073988504E-3</v>
      </c>
      <c r="AQ122" s="164">
        <v>7.7646626444241003E-3</v>
      </c>
      <c r="AR122" s="28"/>
      <c r="AT122" s="130"/>
      <c r="AW122" s="27"/>
    </row>
    <row r="123" spans="1:49" s="1" customFormat="1">
      <c r="A123" s="43"/>
      <c r="B123" s="27"/>
      <c r="C123" s="27"/>
      <c r="D123" s="27"/>
      <c r="E123" s="27"/>
      <c r="F123" s="27"/>
      <c r="G123" s="130"/>
      <c r="H123" s="28"/>
      <c r="I123" s="24">
        <v>62</v>
      </c>
      <c r="J123" s="25">
        <v>1.0602440525305601E-3</v>
      </c>
      <c r="K123" s="25">
        <v>1.3446814062119121E-3</v>
      </c>
      <c r="M123" s="24">
        <v>62</v>
      </c>
      <c r="N123" s="25">
        <v>1.0602440525305601E-3</v>
      </c>
      <c r="O123" s="25">
        <v>1.3446814062119121E-3</v>
      </c>
      <c r="Q123" s="24">
        <v>62</v>
      </c>
      <c r="R123" s="25">
        <v>1.0602440525305601E-3</v>
      </c>
      <c r="S123" s="25">
        <v>1.3446814062119121E-3</v>
      </c>
      <c r="T123" s="28"/>
      <c r="U123" s="130"/>
      <c r="V123" s="27"/>
      <c r="W123" s="27"/>
      <c r="X123" s="64"/>
      <c r="Y123" s="65"/>
      <c r="Z123" s="27"/>
      <c r="AA123" s="27"/>
      <c r="AB123" s="27"/>
      <c r="AC123" s="27"/>
      <c r="AD123" s="27"/>
      <c r="AE123" s="130"/>
      <c r="AF123" s="27"/>
      <c r="AG123" s="24">
        <v>85</v>
      </c>
      <c r="AH123" s="25">
        <v>8.7551399791500097E-3</v>
      </c>
      <c r="AI123" s="25">
        <v>1.1669831046528301E-2</v>
      </c>
      <c r="AK123" s="24">
        <v>85</v>
      </c>
      <c r="AL123" s="164">
        <v>8.7551399791500097E-3</v>
      </c>
      <c r="AM123" s="164">
        <v>1.1669831046528301E-2</v>
      </c>
      <c r="AO123" s="24">
        <v>85</v>
      </c>
      <c r="AP123" s="164">
        <v>8.7551399791500097E-3</v>
      </c>
      <c r="AQ123" s="164">
        <v>1.1669831046528301E-2</v>
      </c>
      <c r="AR123" s="28"/>
      <c r="AT123" s="130"/>
      <c r="AW123" s="27"/>
    </row>
    <row r="124" spans="1:49" s="1" customFormat="1">
      <c r="A124" s="43"/>
      <c r="B124" s="27"/>
      <c r="C124" s="27"/>
      <c r="D124" s="27"/>
      <c r="E124" s="27"/>
      <c r="F124" s="27"/>
      <c r="G124" s="130"/>
      <c r="H124" s="28"/>
      <c r="I124" s="24">
        <v>63</v>
      </c>
      <c r="J124" s="25">
        <v>1.0571847726121842E-3</v>
      </c>
      <c r="K124" s="25">
        <v>1.327233699233152E-3</v>
      </c>
      <c r="M124" s="24">
        <v>63</v>
      </c>
      <c r="N124" s="25">
        <v>1.0571847726121842E-3</v>
      </c>
      <c r="O124" s="25">
        <v>1.327233699233152E-3</v>
      </c>
      <c r="Q124" s="24">
        <v>63</v>
      </c>
      <c r="R124" s="25">
        <v>1.0571847726121842E-3</v>
      </c>
      <c r="S124" s="25">
        <v>1.327233699233152E-3</v>
      </c>
      <c r="T124" s="28"/>
      <c r="U124" s="130"/>
      <c r="V124" s="27"/>
      <c r="W124" s="27"/>
      <c r="X124" s="64"/>
      <c r="Y124" s="65"/>
      <c r="Z124" s="27"/>
      <c r="AA124" s="27"/>
      <c r="AB124" s="27"/>
      <c r="AC124" s="27"/>
      <c r="AD124" s="27"/>
      <c r="AE124" s="130"/>
      <c r="AF124" s="27"/>
      <c r="AG124" s="24">
        <v>86</v>
      </c>
      <c r="AH124" s="25">
        <v>8.7027273354726205E-3</v>
      </c>
      <c r="AI124" s="25">
        <v>1.16526533032553E-2</v>
      </c>
      <c r="AK124" s="24">
        <v>86</v>
      </c>
      <c r="AL124" s="164">
        <v>8.7027273354726205E-3</v>
      </c>
      <c r="AM124" s="164">
        <v>1.16526533032553E-2</v>
      </c>
      <c r="AO124" s="24">
        <v>86</v>
      </c>
      <c r="AP124" s="164">
        <v>8.7027273354726205E-3</v>
      </c>
      <c r="AQ124" s="164">
        <v>1.16526533032553E-2</v>
      </c>
      <c r="AR124" s="28"/>
      <c r="AT124" s="130"/>
      <c r="AW124" s="27"/>
    </row>
    <row r="125" spans="1:49" s="1" customFormat="1">
      <c r="A125" s="43"/>
      <c r="B125" s="27"/>
      <c r="C125" s="27"/>
      <c r="D125" s="27"/>
      <c r="E125" s="27"/>
      <c r="F125" s="27"/>
      <c r="G125" s="130"/>
      <c r="H125" s="28"/>
      <c r="I125" s="24">
        <v>64</v>
      </c>
      <c r="J125" s="25">
        <v>1.054179311130456E-3</v>
      </c>
      <c r="K125" s="25">
        <v>1.31062754601112E-3</v>
      </c>
      <c r="M125" s="24">
        <v>64</v>
      </c>
      <c r="N125" s="25">
        <v>1.054179311130456E-3</v>
      </c>
      <c r="O125" s="25">
        <v>1.31062754601112E-3</v>
      </c>
      <c r="Q125" s="24">
        <v>64</v>
      </c>
      <c r="R125" s="25">
        <v>1.054179311130456E-3</v>
      </c>
      <c r="S125" s="25">
        <v>1.31062754601112E-3</v>
      </c>
      <c r="T125" s="28"/>
      <c r="U125" s="130"/>
      <c r="V125" s="27"/>
      <c r="W125" s="27"/>
      <c r="X125" s="64"/>
      <c r="Y125" s="65"/>
      <c r="Z125" s="27"/>
      <c r="AA125" s="27"/>
      <c r="AB125" s="27"/>
      <c r="AC125" s="27"/>
      <c r="AD125" s="27"/>
      <c r="AE125" s="130"/>
      <c r="AF125" s="27"/>
      <c r="AG125" s="24">
        <v>87</v>
      </c>
      <c r="AH125" s="25">
        <v>8.6569174391725196E-3</v>
      </c>
      <c r="AI125" s="25">
        <v>1.16426760826049E-2</v>
      </c>
      <c r="AK125" s="24">
        <v>87</v>
      </c>
      <c r="AL125" s="164">
        <v>8.6569174391725196E-3</v>
      </c>
      <c r="AM125" s="164">
        <v>1.16426760826049E-2</v>
      </c>
      <c r="AO125" s="24">
        <v>87</v>
      </c>
      <c r="AP125" s="164">
        <v>8.6569174391725196E-3</v>
      </c>
      <c r="AQ125" s="164">
        <v>1.16426760826049E-2</v>
      </c>
      <c r="AR125" s="28"/>
      <c r="AT125" s="130"/>
      <c r="AW125" s="27"/>
    </row>
    <row r="126" spans="1:49" s="1" customFormat="1">
      <c r="A126" s="43"/>
      <c r="B126" s="27"/>
      <c r="C126" s="27"/>
      <c r="D126" s="27"/>
      <c r="E126" s="27"/>
      <c r="F126" s="27"/>
      <c r="G126" s="130"/>
      <c r="H126" s="28"/>
      <c r="I126" s="24">
        <v>65</v>
      </c>
      <c r="J126" s="25">
        <v>1.6633455924725201E-3</v>
      </c>
      <c r="K126" s="25">
        <v>2.0721268159899602E-3</v>
      </c>
      <c r="M126" s="24">
        <v>65</v>
      </c>
      <c r="N126" s="25">
        <v>1.6633455924725201E-3</v>
      </c>
      <c r="O126" s="25">
        <v>2.0721268159899602E-3</v>
      </c>
      <c r="Q126" s="24">
        <v>65</v>
      </c>
      <c r="R126" s="25">
        <v>1.6633455924725201E-3</v>
      </c>
      <c r="S126" s="25">
        <v>2.0721268159899602E-3</v>
      </c>
      <c r="T126" s="28"/>
      <c r="U126" s="130"/>
      <c r="V126" s="27"/>
      <c r="W126" s="27"/>
      <c r="X126" s="64"/>
      <c r="Y126" s="65"/>
      <c r="Z126" s="27"/>
      <c r="AA126" s="27"/>
      <c r="AB126" s="27"/>
      <c r="AC126" s="27"/>
      <c r="AD126" s="27"/>
      <c r="AE126" s="130"/>
      <c r="AF126" s="27"/>
      <c r="AG126" s="24">
        <v>88</v>
      </c>
      <c r="AH126" s="25">
        <v>8.6167997462248697E-3</v>
      </c>
      <c r="AI126" s="25">
        <v>1.1636883677701699E-2</v>
      </c>
      <c r="AK126" s="24">
        <v>88</v>
      </c>
      <c r="AL126" s="164">
        <v>8.6167997462248697E-3</v>
      </c>
      <c r="AM126" s="164">
        <v>1.1636883677701699E-2</v>
      </c>
      <c r="AO126" s="24">
        <v>88</v>
      </c>
      <c r="AP126" s="164">
        <v>8.6167997462248697E-3</v>
      </c>
      <c r="AQ126" s="164">
        <v>1.1636883677701699E-2</v>
      </c>
      <c r="AR126" s="28"/>
      <c r="AT126" s="130"/>
      <c r="AW126" s="27"/>
    </row>
    <row r="127" spans="1:49" s="1" customFormat="1">
      <c r="A127" s="43"/>
      <c r="B127" s="27"/>
      <c r="C127" s="27"/>
      <c r="D127" s="27"/>
      <c r="E127" s="27"/>
      <c r="F127" s="27"/>
      <c r="G127" s="130"/>
      <c r="H127" s="28"/>
      <c r="I127" s="24">
        <v>66</v>
      </c>
      <c r="J127" s="25">
        <v>1.656148243605224E-3</v>
      </c>
      <c r="K127" s="25">
        <v>2.0345495836282964E-3</v>
      </c>
      <c r="M127" s="24">
        <v>66</v>
      </c>
      <c r="N127" s="25">
        <v>1.656148243605224E-3</v>
      </c>
      <c r="O127" s="25">
        <v>2.0345495836282964E-3</v>
      </c>
      <c r="Q127" s="24">
        <v>66</v>
      </c>
      <c r="R127" s="25">
        <v>1.656148243605224E-3</v>
      </c>
      <c r="S127" s="25">
        <v>2.0345495836282964E-3</v>
      </c>
      <c r="T127" s="28"/>
      <c r="U127" s="130"/>
      <c r="V127" s="27"/>
      <c r="W127" s="27"/>
      <c r="X127" s="64"/>
      <c r="Y127" s="65"/>
      <c r="Z127" s="27"/>
      <c r="AA127" s="27"/>
      <c r="AB127" s="27"/>
      <c r="AC127" s="27"/>
      <c r="AD127" s="27"/>
      <c r="AE127" s="130"/>
      <c r="AF127" s="27"/>
      <c r="AG127" s="24">
        <v>89</v>
      </c>
      <c r="AH127" s="25">
        <v>8.58159162814842E-3</v>
      </c>
      <c r="AI127" s="25">
        <v>1.1633522546374101E-2</v>
      </c>
      <c r="AK127" s="24">
        <v>89</v>
      </c>
      <c r="AL127" s="164">
        <v>8.58159162814842E-3</v>
      </c>
      <c r="AM127" s="164">
        <v>1.1633522546374101E-2</v>
      </c>
      <c r="AO127" s="24">
        <v>89</v>
      </c>
      <c r="AP127" s="164">
        <v>8.58159162814842E-3</v>
      </c>
      <c r="AQ127" s="164">
        <v>1.1633522546374101E-2</v>
      </c>
      <c r="AR127" s="28"/>
      <c r="AT127" s="130"/>
      <c r="AW127" s="27"/>
    </row>
    <row r="128" spans="1:49" s="1" customFormat="1">
      <c r="A128" s="43"/>
      <c r="B128" s="27"/>
      <c r="C128" s="27"/>
      <c r="D128" s="27"/>
      <c r="E128" s="27"/>
      <c r="F128" s="27"/>
      <c r="G128" s="130"/>
      <c r="H128" s="28"/>
      <c r="I128" s="24">
        <v>67</v>
      </c>
      <c r="J128" s="25">
        <v>1.649152670360008E-3</v>
      </c>
      <c r="K128" s="25">
        <v>1.9999419584309842E-3</v>
      </c>
      <c r="M128" s="24">
        <v>67</v>
      </c>
      <c r="N128" s="25">
        <v>1.649152670360008E-3</v>
      </c>
      <c r="O128" s="25">
        <v>1.9999419584309842E-3</v>
      </c>
      <c r="Q128" s="24">
        <v>67</v>
      </c>
      <c r="R128" s="25">
        <v>1.649152670360008E-3</v>
      </c>
      <c r="S128" s="25">
        <v>1.9999419584309842E-3</v>
      </c>
      <c r="T128" s="28"/>
      <c r="U128" s="130"/>
      <c r="V128" s="27"/>
      <c r="W128" s="27"/>
      <c r="X128" s="64"/>
      <c r="Y128" s="65"/>
      <c r="Z128" s="27"/>
      <c r="AA128" s="27"/>
      <c r="AB128" s="27"/>
      <c r="AC128" s="27"/>
      <c r="AD128" s="27"/>
      <c r="AE128" s="130"/>
      <c r="AF128" s="27"/>
      <c r="AG128" s="24">
        <v>90</v>
      </c>
      <c r="AH128" s="25">
        <v>1.1272172946570199E-2</v>
      </c>
      <c r="AI128" s="25">
        <v>1.6503899630902801E-2</v>
      </c>
      <c r="AK128" s="24">
        <v>90</v>
      </c>
      <c r="AL128" s="164">
        <v>1.1272172946570199E-2</v>
      </c>
      <c r="AM128" s="164">
        <v>1.6503899630902801E-2</v>
      </c>
      <c r="AO128" s="24">
        <v>90</v>
      </c>
      <c r="AP128" s="164">
        <v>1.1272172946570199E-2</v>
      </c>
      <c r="AQ128" s="164">
        <v>1.6503899630902801E-2</v>
      </c>
      <c r="AR128" s="28"/>
      <c r="AT128" s="130"/>
      <c r="AW128" s="27"/>
    </row>
    <row r="129" spans="1:51" s="1" customFormat="1">
      <c r="A129" s="43"/>
      <c r="B129" s="27"/>
      <c r="C129" s="27"/>
      <c r="D129" s="27"/>
      <c r="E129" s="27"/>
      <c r="F129" s="27"/>
      <c r="G129" s="130"/>
      <c r="H129" s="28"/>
      <c r="I129" s="24">
        <v>68</v>
      </c>
      <c r="J129" s="25">
        <v>1.6423540288031759E-3</v>
      </c>
      <c r="K129" s="25">
        <v>1.9681025823744323E-3</v>
      </c>
      <c r="M129" s="24">
        <v>68</v>
      </c>
      <c r="N129" s="25">
        <v>1.6423540288031759E-3</v>
      </c>
      <c r="O129" s="25">
        <v>1.9681025823744323E-3</v>
      </c>
      <c r="Q129" s="24">
        <v>68</v>
      </c>
      <c r="R129" s="25">
        <v>1.6423540288031759E-3</v>
      </c>
      <c r="S129" s="25">
        <v>1.9681025823744323E-3</v>
      </c>
      <c r="T129" s="28"/>
      <c r="U129" s="130"/>
      <c r="V129" s="27"/>
      <c r="W129" s="27"/>
      <c r="X129" s="64"/>
      <c r="Y129" s="65"/>
      <c r="Z129" s="27"/>
      <c r="AA129" s="27"/>
      <c r="AB129" s="27"/>
      <c r="AC129" s="27"/>
      <c r="AD129" s="27"/>
      <c r="AE129" s="130"/>
      <c r="AF129" s="27"/>
      <c r="AG129" s="24">
        <v>91</v>
      </c>
      <c r="AH129" s="25">
        <v>1.12264723367552E-2</v>
      </c>
      <c r="AI129" s="25">
        <v>1.6502058168295999E-2</v>
      </c>
      <c r="AK129" s="24">
        <v>91</v>
      </c>
      <c r="AL129" s="164">
        <v>1.12264723367552E-2</v>
      </c>
      <c r="AM129" s="164">
        <v>1.6502058168295999E-2</v>
      </c>
      <c r="AO129" s="24">
        <v>91</v>
      </c>
      <c r="AP129" s="164">
        <v>1.12264723367552E-2</v>
      </c>
      <c r="AQ129" s="164">
        <v>1.6502058168295999E-2</v>
      </c>
      <c r="AR129" s="28"/>
      <c r="AT129" s="130"/>
      <c r="AW129" s="27"/>
    </row>
    <row r="130" spans="1:51" s="1" customFormat="1">
      <c r="A130" s="43"/>
      <c r="B130" s="27"/>
      <c r="C130" s="27"/>
      <c r="D130" s="27"/>
      <c r="E130" s="27"/>
      <c r="F130" s="27"/>
      <c r="G130" s="130"/>
      <c r="H130" s="28"/>
      <c r="I130" s="24">
        <v>69</v>
      </c>
      <c r="J130" s="25">
        <v>1.635747518547696E-3</v>
      </c>
      <c r="K130" s="25">
        <v>1.938838200905568E-3</v>
      </c>
      <c r="M130" s="24">
        <v>69</v>
      </c>
      <c r="N130" s="25">
        <v>1.635747518547696E-3</v>
      </c>
      <c r="O130" s="25">
        <v>1.938838200905568E-3</v>
      </c>
      <c r="Q130" s="24">
        <v>69</v>
      </c>
      <c r="R130" s="25">
        <v>1.635747518547696E-3</v>
      </c>
      <c r="S130" s="25">
        <v>1.938838200905568E-3</v>
      </c>
      <c r="T130" s="28"/>
      <c r="U130" s="130"/>
      <c r="V130" s="27"/>
      <c r="W130" s="27"/>
      <c r="X130" s="64"/>
      <c r="Y130" s="65"/>
      <c r="Z130" s="27"/>
      <c r="AA130" s="27"/>
      <c r="AB130" s="27"/>
      <c r="AC130" s="27"/>
      <c r="AD130" s="27"/>
      <c r="AE130" s="130"/>
      <c r="AF130" s="27"/>
      <c r="AG130" s="24">
        <v>92</v>
      </c>
      <c r="AH130" s="25">
        <v>1.11875853683548E-2</v>
      </c>
      <c r="AI130" s="25">
        <v>1.6501223881195199E-2</v>
      </c>
      <c r="AK130" s="24">
        <v>92</v>
      </c>
      <c r="AL130" s="164">
        <v>1.11875853683548E-2</v>
      </c>
      <c r="AM130" s="164">
        <v>1.6501223881195199E-2</v>
      </c>
      <c r="AO130" s="24">
        <v>92</v>
      </c>
      <c r="AP130" s="164">
        <v>1.11875853683548E-2</v>
      </c>
      <c r="AQ130" s="164">
        <v>1.6501223881195199E-2</v>
      </c>
      <c r="AT130" s="130"/>
      <c r="AW130" s="27"/>
    </row>
    <row r="131" spans="1:51" s="1" customFormat="1">
      <c r="A131" s="43"/>
      <c r="B131" s="27"/>
      <c r="C131" s="27"/>
      <c r="D131" s="27"/>
      <c r="E131" s="27"/>
      <c r="F131" s="27"/>
      <c r="G131" s="130"/>
      <c r="H131" s="28"/>
      <c r="I131" s="24">
        <v>70</v>
      </c>
      <c r="J131" s="25">
        <v>2.5386043773198562E-3</v>
      </c>
      <c r="K131" s="25">
        <v>3.0278658553803523E-3</v>
      </c>
      <c r="M131" s="24">
        <v>70</v>
      </c>
      <c r="N131" s="25">
        <v>2.5386043773198562E-3</v>
      </c>
      <c r="O131" s="25">
        <v>3.0278658553803523E-3</v>
      </c>
      <c r="Q131" s="24">
        <v>70</v>
      </c>
      <c r="R131" s="25">
        <v>2.5386043773198562E-3</v>
      </c>
      <c r="S131" s="25">
        <v>3.0278658553803523E-3</v>
      </c>
      <c r="T131" s="28"/>
      <c r="U131" s="130"/>
      <c r="V131" s="27"/>
      <c r="W131" s="27"/>
      <c r="X131" s="64"/>
      <c r="Y131" s="65"/>
      <c r="Z131" s="27"/>
      <c r="AA131" s="27"/>
      <c r="AB131" s="27"/>
      <c r="AC131" s="27"/>
      <c r="AD131" s="27"/>
      <c r="AE131" s="130"/>
      <c r="AF131" s="27"/>
      <c r="AG131" s="24">
        <v>93</v>
      </c>
      <c r="AH131" s="25">
        <v>1.11543509195832E-2</v>
      </c>
      <c r="AI131" s="25">
        <v>1.6500857761471099E-2</v>
      </c>
      <c r="AK131" s="24">
        <v>93</v>
      </c>
      <c r="AL131" s="164">
        <v>1.11543509195832E-2</v>
      </c>
      <c r="AM131" s="164">
        <v>1.6500857761471099E-2</v>
      </c>
      <c r="AO131" s="24">
        <v>93</v>
      </c>
      <c r="AP131" s="164">
        <v>1.11543509195832E-2</v>
      </c>
      <c r="AQ131" s="164">
        <v>1.6500857761471099E-2</v>
      </c>
      <c r="AT131" s="130"/>
      <c r="AW131" s="27"/>
    </row>
    <row r="132" spans="1:51" s="1" customFormat="1">
      <c r="A132" s="43"/>
      <c r="B132" s="27"/>
      <c r="C132" s="27"/>
      <c r="D132" s="27"/>
      <c r="E132" s="27"/>
      <c r="F132" s="27"/>
      <c r="G132" s="130"/>
      <c r="H132" s="28"/>
      <c r="I132" s="24">
        <v>71</v>
      </c>
      <c r="J132" s="25">
        <v>2.5236750820176322E-3</v>
      </c>
      <c r="K132" s="25">
        <v>2.9686020596034965E-3</v>
      </c>
      <c r="M132" s="24">
        <v>71</v>
      </c>
      <c r="N132" s="25">
        <v>2.5236750820176322E-3</v>
      </c>
      <c r="O132" s="25">
        <v>2.9686020596034965E-3</v>
      </c>
      <c r="Q132" s="24">
        <v>71</v>
      </c>
      <c r="R132" s="25">
        <v>2.5236750820176322E-3</v>
      </c>
      <c r="S132" s="25">
        <v>2.9686020596034965E-3</v>
      </c>
      <c r="T132" s="28"/>
      <c r="U132" s="130"/>
      <c r="V132" s="27"/>
      <c r="W132" s="27"/>
      <c r="X132" s="64"/>
      <c r="Y132" s="65"/>
      <c r="Z132" s="27"/>
      <c r="AA132" s="27"/>
      <c r="AB132" s="27"/>
      <c r="AC132" s="27"/>
      <c r="AD132" s="27"/>
      <c r="AE132" s="130"/>
      <c r="AF132" s="27"/>
      <c r="AG132" s="24">
        <v>94</v>
      </c>
      <c r="AH132" s="25">
        <v>1.1125823005723999E-2</v>
      </c>
      <c r="AI132" s="25">
        <v>1.6500711831515798E-2</v>
      </c>
      <c r="AK132" s="24">
        <v>94</v>
      </c>
      <c r="AL132" s="164">
        <v>1.1125823005723999E-2</v>
      </c>
      <c r="AM132" s="164">
        <v>1.6500711831515798E-2</v>
      </c>
      <c r="AO132" s="24">
        <v>94</v>
      </c>
      <c r="AP132" s="164">
        <v>1.1125823005723999E-2</v>
      </c>
      <c r="AQ132" s="164">
        <v>1.6500711831515798E-2</v>
      </c>
      <c r="AT132" s="130"/>
      <c r="AW132" s="27"/>
    </row>
    <row r="133" spans="1:51" s="1" customFormat="1">
      <c r="A133" s="43"/>
      <c r="B133" s="27"/>
      <c r="C133" s="27"/>
      <c r="D133" s="27"/>
      <c r="E133" s="27"/>
      <c r="F133" s="27"/>
      <c r="G133" s="130"/>
      <c r="H133" s="27"/>
      <c r="I133" s="24">
        <v>72</v>
      </c>
      <c r="J133" s="25">
        <v>2.5094070867879761E-3</v>
      </c>
      <c r="K133" s="25">
        <v>2.917026524038488E-3</v>
      </c>
      <c r="M133" s="24">
        <v>72</v>
      </c>
      <c r="N133" s="25">
        <v>2.5094070867879761E-3</v>
      </c>
      <c r="O133" s="25">
        <v>2.917026524038488E-3</v>
      </c>
      <c r="Q133" s="24">
        <v>72</v>
      </c>
      <c r="R133" s="25">
        <v>2.5094070867879761E-3</v>
      </c>
      <c r="S133" s="25">
        <v>2.917026524038488E-3</v>
      </c>
      <c r="T133" s="27"/>
      <c r="U133" s="130"/>
      <c r="V133" s="27"/>
      <c r="W133" s="27"/>
      <c r="X133" s="64"/>
      <c r="Y133" s="65"/>
      <c r="Z133" s="27"/>
      <c r="AA133" s="27"/>
      <c r="AB133" s="27"/>
      <c r="AC133" s="27"/>
      <c r="AD133" s="27"/>
      <c r="AE133" s="130"/>
      <c r="AF133" s="27"/>
      <c r="AG133" s="24">
        <v>95</v>
      </c>
      <c r="AH133" s="25">
        <v>1.34228894861959E-2</v>
      </c>
      <c r="AI133" s="25">
        <v>2.13746310453455E-2</v>
      </c>
      <c r="AK133" s="24">
        <v>95</v>
      </c>
      <c r="AL133" s="164">
        <v>1.34228894861959E-2</v>
      </c>
      <c r="AM133" s="164">
        <v>2.13746310453455E-2</v>
      </c>
      <c r="AO133" s="24">
        <v>95</v>
      </c>
      <c r="AP133" s="164">
        <v>1.34228894861959E-2</v>
      </c>
      <c r="AQ133" s="164">
        <v>2.13746310453455E-2</v>
      </c>
      <c r="AT133" s="130"/>
      <c r="AU133" s="27"/>
      <c r="AW133" s="27"/>
    </row>
    <row r="134" spans="1:51" s="1" customFormat="1">
      <c r="A134" s="43"/>
      <c r="B134" s="27"/>
      <c r="C134" s="27"/>
      <c r="D134" s="27"/>
      <c r="E134" s="27"/>
      <c r="F134" s="27"/>
      <c r="G134" s="130"/>
      <c r="H134" s="27"/>
      <c r="I134" s="24">
        <v>73</v>
      </c>
      <c r="J134" s="25">
        <v>2.4957737194307925E-3</v>
      </c>
      <c r="K134" s="25">
        <v>2.8722122259561764E-3</v>
      </c>
      <c r="M134" s="24">
        <v>73</v>
      </c>
      <c r="N134" s="25">
        <v>2.4957737194307925E-3</v>
      </c>
      <c r="O134" s="25">
        <v>2.8722122259561764E-3</v>
      </c>
      <c r="Q134" s="24">
        <v>73</v>
      </c>
      <c r="R134" s="25">
        <v>2.4957737194307925E-3</v>
      </c>
      <c r="S134" s="25">
        <v>2.8722122259561764E-3</v>
      </c>
      <c r="T134" s="27"/>
      <c r="U134" s="130"/>
      <c r="V134" s="27"/>
      <c r="W134" s="27"/>
      <c r="X134" s="64"/>
      <c r="Y134" s="65"/>
      <c r="Z134" s="27"/>
      <c r="AA134" s="27"/>
      <c r="AB134" s="27"/>
      <c r="AC134" s="27"/>
      <c r="AD134" s="27"/>
      <c r="AE134" s="130"/>
      <c r="AF134" s="27"/>
      <c r="AG134" s="24">
        <v>96</v>
      </c>
      <c r="AH134" s="25">
        <v>1.3392640697755699E-2</v>
      </c>
      <c r="AI134" s="25">
        <v>2.1374708725078299E-2</v>
      </c>
      <c r="AK134" s="24">
        <v>96</v>
      </c>
      <c r="AL134" s="164">
        <v>1.3392640697755699E-2</v>
      </c>
      <c r="AM134" s="164">
        <v>2.1374708725078299E-2</v>
      </c>
      <c r="AO134" s="24">
        <v>96</v>
      </c>
      <c r="AP134" s="164">
        <v>1.3392640697755699E-2</v>
      </c>
      <c r="AQ134" s="164">
        <v>2.1374708725078299E-2</v>
      </c>
      <c r="AR134" s="27"/>
      <c r="AS134" s="27"/>
      <c r="AT134" s="130"/>
      <c r="AU134" s="27"/>
      <c r="AW134" s="27"/>
    </row>
    <row r="135" spans="1:51" s="1" customFormat="1">
      <c r="A135" s="43"/>
      <c r="B135" s="27"/>
      <c r="C135" s="27"/>
      <c r="D135" s="27"/>
      <c r="E135" s="27"/>
      <c r="F135" s="27"/>
      <c r="G135" s="130"/>
      <c r="H135" s="27"/>
      <c r="I135" s="24">
        <v>74</v>
      </c>
      <c r="J135" s="25">
        <v>2.4827489508835363E-3</v>
      </c>
      <c r="K135" s="25">
        <v>2.8333258689374721E-3</v>
      </c>
      <c r="M135" s="24">
        <v>74</v>
      </c>
      <c r="N135" s="25">
        <v>2.4827489508835363E-3</v>
      </c>
      <c r="O135" s="25">
        <v>2.8333258689374721E-3</v>
      </c>
      <c r="Q135" s="24">
        <v>74</v>
      </c>
      <c r="R135" s="25">
        <v>2.4827489508835363E-3</v>
      </c>
      <c r="S135" s="25">
        <v>2.8333258689374721E-3</v>
      </c>
      <c r="T135" s="27"/>
      <c r="U135" s="130"/>
      <c r="V135" s="27"/>
      <c r="W135" s="27"/>
      <c r="X135" s="64"/>
      <c r="Y135" s="65"/>
      <c r="Z135" s="27"/>
      <c r="AA135" s="27"/>
      <c r="AB135" s="27"/>
      <c r="AC135" s="27"/>
      <c r="AD135" s="27"/>
      <c r="AE135" s="130"/>
      <c r="AF135" s="27"/>
      <c r="AG135" s="24">
        <v>97</v>
      </c>
      <c r="AH135" s="25">
        <v>1.33670819383976E-2</v>
      </c>
      <c r="AI135" s="25">
        <v>2.13748592768289E-2</v>
      </c>
      <c r="AK135" s="24">
        <v>97</v>
      </c>
      <c r="AL135" s="164">
        <v>1.33670819383976E-2</v>
      </c>
      <c r="AM135" s="164">
        <v>2.13748592768289E-2</v>
      </c>
      <c r="AO135" s="24">
        <v>97</v>
      </c>
      <c r="AP135" s="164">
        <v>1.33670819383976E-2</v>
      </c>
      <c r="AQ135" s="164">
        <v>2.13748592768289E-2</v>
      </c>
      <c r="AT135" s="130"/>
      <c r="AU135" s="27"/>
      <c r="AW135" s="27"/>
    </row>
    <row r="136" spans="1:51" s="1" customFormat="1">
      <c r="A136" s="43"/>
      <c r="B136" s="27"/>
      <c r="C136" s="27"/>
      <c r="D136" s="27"/>
      <c r="E136" s="27"/>
      <c r="F136" s="27"/>
      <c r="G136" s="130"/>
      <c r="H136" s="27"/>
      <c r="I136" s="24">
        <v>75</v>
      </c>
      <c r="J136" s="25">
        <v>3.759005015754368E-3</v>
      </c>
      <c r="K136" s="25">
        <v>4.3668390116524246E-3</v>
      </c>
      <c r="M136" s="24">
        <v>75</v>
      </c>
      <c r="N136" s="25">
        <v>3.759005015754368E-3</v>
      </c>
      <c r="O136" s="25">
        <v>4.3668390116524246E-3</v>
      </c>
      <c r="Q136" s="24">
        <v>75</v>
      </c>
      <c r="R136" s="25">
        <v>3.759005015754368E-3</v>
      </c>
      <c r="S136" s="25">
        <v>4.3668390116524246E-3</v>
      </c>
      <c r="T136" s="27"/>
      <c r="U136" s="130"/>
      <c r="V136" s="27"/>
      <c r="W136" s="27"/>
      <c r="X136" s="64"/>
      <c r="Y136" s="65"/>
      <c r="Z136" s="27"/>
      <c r="AA136" s="27"/>
      <c r="AB136" s="27"/>
      <c r="AC136" s="27"/>
      <c r="AD136" s="27"/>
      <c r="AE136" s="130"/>
      <c r="AF136" s="27"/>
      <c r="AG136" s="24">
        <v>98</v>
      </c>
      <c r="AH136" s="25">
        <v>1.3345370243881599E-2</v>
      </c>
      <c r="AI136" s="25">
        <v>2.13750726591466E-2</v>
      </c>
      <c r="AK136" s="24">
        <v>98</v>
      </c>
      <c r="AL136" s="164">
        <v>1.3345370243881599E-2</v>
      </c>
      <c r="AM136" s="164">
        <v>2.13750726591466E-2</v>
      </c>
      <c r="AO136" s="24">
        <v>98</v>
      </c>
      <c r="AP136" s="164">
        <v>1.3345370243881599E-2</v>
      </c>
      <c r="AQ136" s="164">
        <v>2.13750726591466E-2</v>
      </c>
      <c r="AR136" s="27"/>
      <c r="AS136" s="27"/>
      <c r="AT136" s="130"/>
      <c r="AU136" s="27"/>
      <c r="AW136" s="27"/>
    </row>
    <row r="137" spans="1:51">
      <c r="I137" s="24">
        <v>76</v>
      </c>
      <c r="J137" s="25">
        <v>3.7320722140140802E-3</v>
      </c>
      <c r="K137" s="25">
        <v>4.3008745989895122E-3</v>
      </c>
      <c r="L137" s="1"/>
      <c r="M137" s="24">
        <v>76</v>
      </c>
      <c r="N137" s="25">
        <v>3.7320722140140802E-3</v>
      </c>
      <c r="O137" s="25">
        <v>4.3008745989895122E-3</v>
      </c>
      <c r="P137" s="1"/>
      <c r="Q137" s="24">
        <v>76</v>
      </c>
      <c r="R137" s="25">
        <v>3.7320722140140802E-3</v>
      </c>
      <c r="S137" s="25">
        <v>4.3008745989895122E-3</v>
      </c>
      <c r="X137" s="64"/>
      <c r="Y137" s="65"/>
      <c r="AG137" s="24">
        <v>99</v>
      </c>
      <c r="AH137" s="25">
        <v>1.33268359340574E-2</v>
      </c>
      <c r="AI137" s="25">
        <v>2.1375355891336E-2</v>
      </c>
      <c r="AJ137" s="1"/>
      <c r="AK137" s="24">
        <v>99</v>
      </c>
      <c r="AL137" s="164">
        <v>1.33268359340574E-2</v>
      </c>
      <c r="AM137" s="164">
        <v>2.1375355891336E-2</v>
      </c>
      <c r="AN137" s="1"/>
      <c r="AO137" s="24">
        <v>99</v>
      </c>
      <c r="AP137" s="164">
        <v>1.33268359340574E-2</v>
      </c>
      <c r="AQ137" s="164">
        <v>2.1375355891336E-2</v>
      </c>
      <c r="AX137" s="1"/>
      <c r="AY137" s="1"/>
    </row>
    <row r="138" spans="1:51">
      <c r="I138" s="24">
        <v>77</v>
      </c>
      <c r="J138" s="25">
        <v>3.7069675239856724E-3</v>
      </c>
      <c r="K138" s="25">
        <v>4.2483578601867598E-3</v>
      </c>
      <c r="L138" s="1"/>
      <c r="M138" s="24">
        <v>77</v>
      </c>
      <c r="N138" s="25">
        <v>3.7069675239856724E-3</v>
      </c>
      <c r="O138" s="25">
        <v>4.2483578601867598E-3</v>
      </c>
      <c r="P138" s="1"/>
      <c r="Q138" s="24">
        <v>77</v>
      </c>
      <c r="R138" s="25">
        <v>3.7069675239856724E-3</v>
      </c>
      <c r="S138" s="25">
        <v>4.2483578601867598E-3</v>
      </c>
      <c r="X138" s="64"/>
      <c r="Y138" s="65"/>
      <c r="AG138" s="24">
        <v>100</v>
      </c>
      <c r="AH138" s="25">
        <v>1</v>
      </c>
      <c r="AI138" s="25">
        <v>1</v>
      </c>
      <c r="AJ138" s="1"/>
      <c r="AK138" s="24">
        <v>100</v>
      </c>
      <c r="AL138" s="164">
        <v>1</v>
      </c>
      <c r="AM138" s="164">
        <v>1</v>
      </c>
      <c r="AN138" s="1"/>
      <c r="AO138" s="24">
        <v>100</v>
      </c>
      <c r="AP138" s="164">
        <v>1</v>
      </c>
      <c r="AQ138" s="164">
        <v>1</v>
      </c>
      <c r="AV138" s="28"/>
    </row>
    <row r="139" spans="1:51">
      <c r="I139" s="24">
        <v>78</v>
      </c>
      <c r="J139" s="25">
        <v>3.6835702822480159E-3</v>
      </c>
      <c r="K139" s="25">
        <v>4.2066149766950079E-3</v>
      </c>
      <c r="L139" s="1"/>
      <c r="M139" s="24">
        <v>78</v>
      </c>
      <c r="N139" s="25">
        <v>3.6835702822480159E-3</v>
      </c>
      <c r="O139" s="25">
        <v>4.2066149766950079E-3</v>
      </c>
      <c r="P139" s="1"/>
      <c r="Q139" s="24">
        <v>78</v>
      </c>
      <c r="R139" s="25">
        <v>3.6835702822480159E-3</v>
      </c>
      <c r="S139" s="25">
        <v>4.2066149766950079E-3</v>
      </c>
      <c r="X139" s="64"/>
      <c r="Y139" s="65"/>
      <c r="AH139" s="28"/>
      <c r="AV139" s="28"/>
    </row>
    <row r="140" spans="1:51">
      <c r="I140" s="24">
        <v>79</v>
      </c>
      <c r="J140" s="25">
        <v>3.6617660998680326E-3</v>
      </c>
      <c r="K140" s="25">
        <v>4.1734783795662088E-3</v>
      </c>
      <c r="L140" s="1"/>
      <c r="M140" s="24">
        <v>79</v>
      </c>
      <c r="N140" s="25">
        <v>3.6617660998680326E-3</v>
      </c>
      <c r="O140" s="25">
        <v>4.1734783795662088E-3</v>
      </c>
      <c r="P140" s="1"/>
      <c r="Q140" s="24">
        <v>79</v>
      </c>
      <c r="R140" s="25">
        <v>3.6617660998680326E-3</v>
      </c>
      <c r="S140" s="25">
        <v>4.1734783795662088E-3</v>
      </c>
      <c r="X140" s="64"/>
      <c r="Y140" s="65"/>
      <c r="AH140" s="28"/>
      <c r="AK140" s="1"/>
      <c r="AL140" s="1"/>
      <c r="AM140" s="1"/>
      <c r="AN140" s="1"/>
      <c r="AO140" s="1"/>
      <c r="AP140" s="1"/>
      <c r="AQ140" s="1"/>
      <c r="AV140" s="28"/>
    </row>
    <row r="141" spans="1:51">
      <c r="I141" s="24">
        <v>80</v>
      </c>
      <c r="J141" s="25">
        <v>5.3510265439302724E-3</v>
      </c>
      <c r="K141" s="25">
        <v>6.3208737599197212E-3</v>
      </c>
      <c r="L141" s="1"/>
      <c r="M141" s="24">
        <v>80</v>
      </c>
      <c r="N141" s="25">
        <v>5.3510265439302724E-3</v>
      </c>
      <c r="O141" s="25">
        <v>6.3208737599197212E-3</v>
      </c>
      <c r="P141" s="1"/>
      <c r="Q141" s="24">
        <v>80</v>
      </c>
      <c r="R141" s="25">
        <v>5.3510265439302724E-3</v>
      </c>
      <c r="S141" s="25">
        <v>6.3208737599197212E-3</v>
      </c>
      <c r="X141" s="64"/>
      <c r="Y141" s="65"/>
      <c r="AH141" s="28"/>
      <c r="AV141" s="28"/>
    </row>
    <row r="142" spans="1:51">
      <c r="I142" s="24">
        <v>81</v>
      </c>
      <c r="J142" s="25">
        <v>5.3113571471370405E-3</v>
      </c>
      <c r="K142" s="25">
        <v>6.2777372685929762E-3</v>
      </c>
      <c r="L142" s="1"/>
      <c r="M142" s="24">
        <v>81</v>
      </c>
      <c r="N142" s="25">
        <v>5.3113571471370405E-3</v>
      </c>
      <c r="O142" s="25">
        <v>6.2777372685929762E-3</v>
      </c>
      <c r="P142" s="1"/>
      <c r="Q142" s="24">
        <v>81</v>
      </c>
      <c r="R142" s="25">
        <v>5.3113571471370405E-3</v>
      </c>
      <c r="S142" s="25">
        <v>6.2777372685929762E-3</v>
      </c>
      <c r="X142" s="64"/>
      <c r="Y142" s="65"/>
      <c r="AH142" s="28"/>
      <c r="AV142" s="28"/>
    </row>
    <row r="143" spans="1:51">
      <c r="I143" s="24">
        <v>82</v>
      </c>
      <c r="J143" s="25">
        <v>5.2755885285777444E-3</v>
      </c>
      <c r="K143" s="25">
        <v>6.2475579096518321E-3</v>
      </c>
      <c r="L143" s="1"/>
      <c r="M143" s="24">
        <v>82</v>
      </c>
      <c r="N143" s="25">
        <v>5.2755885285777444E-3</v>
      </c>
      <c r="O143" s="25">
        <v>6.2475579096518321E-3</v>
      </c>
      <c r="P143" s="1"/>
      <c r="Q143" s="24">
        <v>82</v>
      </c>
      <c r="R143" s="25">
        <v>5.2755885285777444E-3</v>
      </c>
      <c r="S143" s="25">
        <v>6.2475579096518321E-3</v>
      </c>
      <c r="X143" s="64"/>
      <c r="Y143" s="65"/>
      <c r="AH143" s="28"/>
      <c r="AV143" s="28"/>
    </row>
    <row r="144" spans="1:51">
      <c r="I144" s="24">
        <v>83</v>
      </c>
      <c r="J144" s="25">
        <v>5.2433234529714488E-3</v>
      </c>
      <c r="K144" s="25">
        <v>6.2264639214053121E-3</v>
      </c>
      <c r="L144" s="1"/>
      <c r="M144" s="24">
        <v>83</v>
      </c>
      <c r="N144" s="25">
        <v>5.2433234529714488E-3</v>
      </c>
      <c r="O144" s="25">
        <v>6.2264639214053121E-3</v>
      </c>
      <c r="P144" s="1"/>
      <c r="Q144" s="24">
        <v>83</v>
      </c>
      <c r="R144" s="25">
        <v>5.2433234529714488E-3</v>
      </c>
      <c r="S144" s="25">
        <v>6.2264639214053121E-3</v>
      </c>
      <c r="X144" s="64"/>
      <c r="Y144" s="65"/>
      <c r="AH144" s="28"/>
      <c r="AV144" s="28"/>
    </row>
    <row r="145" spans="9:48">
      <c r="I145" s="24">
        <v>84</v>
      </c>
      <c r="J145" s="25">
        <v>5.2142021659190808E-3</v>
      </c>
      <c r="K145" s="25">
        <v>6.2117301155392808E-3</v>
      </c>
      <c r="L145" s="1"/>
      <c r="M145" s="24">
        <v>84</v>
      </c>
      <c r="N145" s="25">
        <v>5.2142021659190808E-3</v>
      </c>
      <c r="O145" s="25">
        <v>6.2117301155392808E-3</v>
      </c>
      <c r="P145" s="1"/>
      <c r="Q145" s="24">
        <v>84</v>
      </c>
      <c r="R145" s="25">
        <v>5.2142021659190808E-3</v>
      </c>
      <c r="S145" s="25">
        <v>6.2117301155392808E-3</v>
      </c>
      <c r="X145" s="64"/>
      <c r="Y145" s="65"/>
      <c r="AH145" s="28"/>
      <c r="AV145" s="28"/>
    </row>
    <row r="146" spans="9:48">
      <c r="I146" s="24">
        <v>85</v>
      </c>
      <c r="J146" s="25">
        <v>7.0041119833200082E-3</v>
      </c>
      <c r="K146" s="25">
        <v>9.3358648372226412E-3</v>
      </c>
      <c r="L146" s="1"/>
      <c r="M146" s="24">
        <v>85</v>
      </c>
      <c r="N146" s="25">
        <v>7.0041119833200082E-3</v>
      </c>
      <c r="O146" s="25">
        <v>9.3358648372226412E-3</v>
      </c>
      <c r="P146" s="1"/>
      <c r="Q146" s="24">
        <v>85</v>
      </c>
      <c r="R146" s="25">
        <v>7.0041119833200082E-3</v>
      </c>
      <c r="S146" s="25">
        <v>9.3358648372226412E-3</v>
      </c>
      <c r="X146" s="64"/>
      <c r="Y146" s="65"/>
      <c r="AV146" s="28"/>
    </row>
    <row r="147" spans="9:48">
      <c r="I147" s="24">
        <v>86</v>
      </c>
      <c r="J147" s="25">
        <v>6.9621818683780964E-3</v>
      </c>
      <c r="K147" s="25">
        <v>9.322122642604241E-3</v>
      </c>
      <c r="L147" s="1"/>
      <c r="M147" s="24">
        <v>86</v>
      </c>
      <c r="N147" s="25">
        <v>6.9621818683780964E-3</v>
      </c>
      <c r="O147" s="25">
        <v>9.322122642604241E-3</v>
      </c>
      <c r="P147" s="1"/>
      <c r="Q147" s="24">
        <v>86</v>
      </c>
      <c r="R147" s="25">
        <v>6.9621818683780964E-3</v>
      </c>
      <c r="S147" s="25">
        <v>9.322122642604241E-3</v>
      </c>
      <c r="X147" s="64"/>
      <c r="Y147" s="65"/>
      <c r="AV147" s="28"/>
    </row>
    <row r="148" spans="9:48">
      <c r="I148" s="24">
        <v>87</v>
      </c>
      <c r="J148" s="25">
        <v>6.9255339513380164E-3</v>
      </c>
      <c r="K148" s="25">
        <v>9.3141408660839201E-3</v>
      </c>
      <c r="L148" s="1"/>
      <c r="M148" s="24">
        <v>87</v>
      </c>
      <c r="N148" s="25">
        <v>6.9255339513380164E-3</v>
      </c>
      <c r="O148" s="25">
        <v>9.3141408660839201E-3</v>
      </c>
      <c r="P148" s="1"/>
      <c r="Q148" s="24">
        <v>87</v>
      </c>
      <c r="R148" s="25">
        <v>6.9255339513380164E-3</v>
      </c>
      <c r="S148" s="25">
        <v>9.3141408660839201E-3</v>
      </c>
      <c r="X148" s="64"/>
      <c r="Y148" s="65"/>
      <c r="AV148" s="28"/>
    </row>
    <row r="149" spans="9:48">
      <c r="I149" s="24">
        <v>88</v>
      </c>
      <c r="J149" s="25">
        <v>6.8934397969798965E-3</v>
      </c>
      <c r="K149" s="25">
        <v>9.3095069421613597E-3</v>
      </c>
      <c r="L149" s="1"/>
      <c r="M149" s="24">
        <v>88</v>
      </c>
      <c r="N149" s="25">
        <v>6.8934397969798965E-3</v>
      </c>
      <c r="O149" s="25">
        <v>9.3095069421613597E-3</v>
      </c>
      <c r="P149" s="1"/>
      <c r="Q149" s="24">
        <v>88</v>
      </c>
      <c r="R149" s="25">
        <v>6.8934397969798965E-3</v>
      </c>
      <c r="S149" s="25">
        <v>9.3095069421613597E-3</v>
      </c>
      <c r="X149" s="64"/>
      <c r="Y149" s="65"/>
      <c r="AV149" s="28"/>
    </row>
    <row r="150" spans="9:48">
      <c r="I150" s="24">
        <v>89</v>
      </c>
      <c r="J150" s="25">
        <v>6.8652733025187365E-3</v>
      </c>
      <c r="K150" s="25">
        <v>9.3068180370992817E-3</v>
      </c>
      <c r="L150" s="1"/>
      <c r="M150" s="24">
        <v>89</v>
      </c>
      <c r="N150" s="25">
        <v>6.8652733025187365E-3</v>
      </c>
      <c r="O150" s="25">
        <v>9.3068180370992817E-3</v>
      </c>
      <c r="P150" s="1"/>
      <c r="Q150" s="24">
        <v>89</v>
      </c>
      <c r="R150" s="25">
        <v>6.8652733025187365E-3</v>
      </c>
      <c r="S150" s="25">
        <v>9.3068180370992817E-3</v>
      </c>
      <c r="X150" s="64"/>
      <c r="Y150" s="65"/>
      <c r="AV150" s="28"/>
    </row>
    <row r="151" spans="9:48">
      <c r="I151" s="24">
        <v>90</v>
      </c>
      <c r="J151" s="25">
        <v>9.0177383572561595E-3</v>
      </c>
      <c r="K151" s="25">
        <v>1.3203119704722242E-2</v>
      </c>
      <c r="L151" s="1"/>
      <c r="M151" s="24">
        <v>90</v>
      </c>
      <c r="N151" s="25">
        <v>9.0177383572561595E-3</v>
      </c>
      <c r="O151" s="25">
        <v>1.3203119704722242E-2</v>
      </c>
      <c r="P151" s="1"/>
      <c r="Q151" s="24">
        <v>90</v>
      </c>
      <c r="R151" s="25">
        <v>9.0177383572561595E-3</v>
      </c>
      <c r="S151" s="25">
        <v>1.3203119704722242E-2</v>
      </c>
      <c r="X151" s="64"/>
      <c r="Y151" s="65"/>
      <c r="AV151" s="28"/>
    </row>
    <row r="152" spans="9:48">
      <c r="I152" s="24">
        <v>91</v>
      </c>
      <c r="J152" s="25">
        <v>8.9811778694041597E-3</v>
      </c>
      <c r="K152" s="25">
        <v>1.3201646534636799E-2</v>
      </c>
      <c r="L152" s="1"/>
      <c r="M152" s="24">
        <v>91</v>
      </c>
      <c r="N152" s="25">
        <v>8.9811778694041597E-3</v>
      </c>
      <c r="O152" s="25">
        <v>1.3201646534636799E-2</v>
      </c>
      <c r="P152" s="1"/>
      <c r="Q152" s="24">
        <v>91</v>
      </c>
      <c r="R152" s="25">
        <v>8.9811778694041597E-3</v>
      </c>
      <c r="S152" s="25">
        <v>1.3201646534636799E-2</v>
      </c>
      <c r="X152" s="64"/>
      <c r="Y152" s="65"/>
      <c r="AV152" s="28"/>
    </row>
    <row r="153" spans="9:48">
      <c r="I153" s="24">
        <v>92</v>
      </c>
      <c r="J153" s="25">
        <v>8.9500682946838401E-3</v>
      </c>
      <c r="K153" s="25">
        <v>1.320097910495616E-2</v>
      </c>
      <c r="L153" s="1"/>
      <c r="M153" s="24">
        <v>92</v>
      </c>
      <c r="N153" s="25">
        <v>8.9500682946838401E-3</v>
      </c>
      <c r="O153" s="25">
        <v>1.320097910495616E-2</v>
      </c>
      <c r="P153" s="1"/>
      <c r="Q153" s="24">
        <v>92</v>
      </c>
      <c r="R153" s="25">
        <v>8.9500682946838401E-3</v>
      </c>
      <c r="S153" s="25">
        <v>1.320097910495616E-2</v>
      </c>
      <c r="X153" s="64"/>
      <c r="Y153" s="65"/>
      <c r="AV153" s="28"/>
    </row>
    <row r="154" spans="9:48">
      <c r="I154" s="24">
        <v>93</v>
      </c>
      <c r="J154" s="25">
        <v>8.9234807356665599E-3</v>
      </c>
      <c r="K154" s="25">
        <v>1.320068620917688E-2</v>
      </c>
      <c r="L154" s="1"/>
      <c r="M154" s="24">
        <v>93</v>
      </c>
      <c r="N154" s="25">
        <v>8.9234807356665599E-3</v>
      </c>
      <c r="O154" s="25">
        <v>1.320068620917688E-2</v>
      </c>
      <c r="P154" s="1"/>
      <c r="Q154" s="24">
        <v>93</v>
      </c>
      <c r="R154" s="25">
        <v>8.9234807356665599E-3</v>
      </c>
      <c r="S154" s="25">
        <v>1.320068620917688E-2</v>
      </c>
      <c r="X154" s="64"/>
      <c r="Y154" s="65"/>
      <c r="AV154" s="28"/>
    </row>
    <row r="155" spans="9:48">
      <c r="I155" s="24">
        <v>94</v>
      </c>
      <c r="J155" s="25">
        <v>8.9006584045792005E-3</v>
      </c>
      <c r="K155" s="25">
        <v>1.320056946521264E-2</v>
      </c>
      <c r="L155" s="1"/>
      <c r="M155" s="24">
        <v>94</v>
      </c>
      <c r="N155" s="25">
        <v>8.9006584045792005E-3</v>
      </c>
      <c r="O155" s="25">
        <v>1.320056946521264E-2</v>
      </c>
      <c r="P155" s="1"/>
      <c r="Q155" s="24">
        <v>94</v>
      </c>
      <c r="R155" s="25">
        <v>8.9006584045792005E-3</v>
      </c>
      <c r="S155" s="25">
        <v>1.320056946521264E-2</v>
      </c>
      <c r="X155" s="64"/>
      <c r="Y155" s="65"/>
      <c r="AV155" s="28"/>
    </row>
    <row r="156" spans="9:48">
      <c r="I156" s="24">
        <v>95</v>
      </c>
      <c r="J156" s="25">
        <v>1.0738311588956721E-2</v>
      </c>
      <c r="K156" s="25">
        <v>1.7099704836276399E-2</v>
      </c>
      <c r="L156" s="1"/>
      <c r="M156" s="24">
        <v>95</v>
      </c>
      <c r="N156" s="25">
        <v>1.0738311588956721E-2</v>
      </c>
      <c r="O156" s="25">
        <v>1.7099704836276399E-2</v>
      </c>
      <c r="P156" s="1"/>
      <c r="Q156" s="24">
        <v>95</v>
      </c>
      <c r="R156" s="25">
        <v>1.0738311588956721E-2</v>
      </c>
      <c r="S156" s="25">
        <v>1.7099704836276399E-2</v>
      </c>
      <c r="X156" s="64"/>
      <c r="Y156" s="65"/>
      <c r="AV156" s="28"/>
    </row>
    <row r="157" spans="9:48">
      <c r="I157" s="24">
        <v>96</v>
      </c>
      <c r="J157" s="25">
        <v>1.071411255820456E-2</v>
      </c>
      <c r="K157" s="25">
        <v>1.7099766980062641E-2</v>
      </c>
      <c r="L157" s="1"/>
      <c r="M157" s="24">
        <v>96</v>
      </c>
      <c r="N157" s="25">
        <v>1.071411255820456E-2</v>
      </c>
      <c r="O157" s="25">
        <v>1.7099766980062641E-2</v>
      </c>
      <c r="P157" s="1"/>
      <c r="Q157" s="24">
        <v>96</v>
      </c>
      <c r="R157" s="25">
        <v>1.071411255820456E-2</v>
      </c>
      <c r="S157" s="25">
        <v>1.7099766980062641E-2</v>
      </c>
      <c r="X157" s="64"/>
      <c r="Y157" s="65"/>
      <c r="AV157" s="28"/>
    </row>
    <row r="158" spans="9:48">
      <c r="I158" s="24">
        <v>97</v>
      </c>
      <c r="J158" s="25">
        <v>1.069366555071808E-2</v>
      </c>
      <c r="K158" s="25">
        <v>1.7099887421463119E-2</v>
      </c>
      <c r="L158" s="1"/>
      <c r="M158" s="24">
        <v>97</v>
      </c>
      <c r="N158" s="25">
        <v>1.069366555071808E-2</v>
      </c>
      <c r="O158" s="25">
        <v>1.7099887421463119E-2</v>
      </c>
      <c r="P158" s="1"/>
      <c r="Q158" s="24">
        <v>97</v>
      </c>
      <c r="R158" s="25">
        <v>1.069366555071808E-2</v>
      </c>
      <c r="S158" s="25">
        <v>1.7099887421463119E-2</v>
      </c>
      <c r="X158" s="64"/>
      <c r="Y158" s="65"/>
      <c r="AV158" s="28"/>
    </row>
    <row r="159" spans="9:48">
      <c r="I159" s="24">
        <v>98</v>
      </c>
      <c r="J159" s="25">
        <v>1.0676296195105281E-2</v>
      </c>
      <c r="K159" s="25">
        <v>1.710005812731728E-2</v>
      </c>
      <c r="L159" s="1"/>
      <c r="M159" s="24">
        <v>98</v>
      </c>
      <c r="N159" s="25">
        <v>1.0676296195105281E-2</v>
      </c>
      <c r="O159" s="25">
        <v>1.710005812731728E-2</v>
      </c>
      <c r="P159" s="1"/>
      <c r="Q159" s="24">
        <v>98</v>
      </c>
      <c r="R159" s="25">
        <v>1.0676296195105281E-2</v>
      </c>
      <c r="S159" s="25">
        <v>1.710005812731728E-2</v>
      </c>
      <c r="X159" s="64"/>
      <c r="Y159" s="65"/>
      <c r="AV159" s="28"/>
    </row>
    <row r="160" spans="9:48">
      <c r="I160" s="24">
        <v>99</v>
      </c>
      <c r="J160" s="25">
        <v>1.066146874724592E-2</v>
      </c>
      <c r="K160" s="25">
        <v>1.7100284713068802E-2</v>
      </c>
      <c r="L160" s="1"/>
      <c r="M160" s="24">
        <v>99</v>
      </c>
      <c r="N160" s="25">
        <v>1.066146874724592E-2</v>
      </c>
      <c r="O160" s="25">
        <v>1.7100284713068802E-2</v>
      </c>
      <c r="P160" s="1"/>
      <c r="Q160" s="24">
        <v>99</v>
      </c>
      <c r="R160" s="25">
        <v>1.066146874724592E-2</v>
      </c>
      <c r="S160" s="25">
        <v>1.7100284713068802E-2</v>
      </c>
      <c r="X160" s="64"/>
      <c r="Y160" s="65"/>
    </row>
    <row r="161" spans="9:25">
      <c r="I161" s="24">
        <v>100</v>
      </c>
      <c r="J161" s="25">
        <v>0.8</v>
      </c>
      <c r="K161" s="25">
        <v>0.8</v>
      </c>
      <c r="L161" s="1"/>
      <c r="M161" s="24">
        <v>100</v>
      </c>
      <c r="N161" s="25">
        <v>0.8</v>
      </c>
      <c r="O161" s="25">
        <v>0.8</v>
      </c>
      <c r="P161" s="1"/>
      <c r="Q161" s="24">
        <v>100</v>
      </c>
      <c r="R161" s="25">
        <v>0.8</v>
      </c>
      <c r="S161" s="25">
        <v>0.8</v>
      </c>
      <c r="X161" s="64"/>
      <c r="Y161" s="65"/>
    </row>
    <row r="162" spans="9:25">
      <c r="X162" s="64"/>
      <c r="Y162" s="65"/>
    </row>
    <row r="163" spans="9:25">
      <c r="X163" s="64"/>
      <c r="Y163" s="65"/>
    </row>
    <row r="164" spans="9:25">
      <c r="X164" s="64"/>
      <c r="Y164" s="65"/>
    </row>
    <row r="165" spans="9:25">
      <c r="X165" s="64"/>
      <c r="Y165" s="65"/>
    </row>
    <row r="166" spans="9:25">
      <c r="X166" s="64"/>
      <c r="Y166" s="65"/>
    </row>
    <row r="167" spans="9:25">
      <c r="X167" s="64"/>
      <c r="Y167" s="65"/>
    </row>
    <row r="168" spans="9:25">
      <c r="X168" s="64"/>
      <c r="Y168" s="65"/>
    </row>
    <row r="169" spans="9:25">
      <c r="X169" s="64"/>
      <c r="Y169" s="65"/>
    </row>
  </sheetData>
  <conditionalFormatting sqref="AH38:AI138 AL38:AM138 AP38:AQ138">
    <cfRule type="expression" dxfId="4" priority="54">
      <formula>$AG$5=1</formula>
    </cfRule>
  </conditionalFormatting>
  <conditionalFormatting sqref="AH15:AI29 AL15:AM29 AP15:AQ29">
    <cfRule type="expression" dxfId="3" priority="3">
      <formula>$AG$5=0</formula>
    </cfRule>
  </conditionalFormatting>
  <conditionalFormatting sqref="J15:K29 N15:O29 R15:S29">
    <cfRule type="expression" dxfId="2" priority="55">
      <formula>$I$5=0</formula>
    </cfRule>
  </conditionalFormatting>
  <conditionalFormatting sqref="J61:K161 N61:O161 R61:S161 R40:S54 J40:K54 N40:O54">
    <cfRule type="expression" dxfId="1" priority="58">
      <formula>$I$5=1</formula>
    </cfRule>
  </conditionalFormatting>
  <dataValidations count="6">
    <dataValidation type="decimal" showInputMessage="1" showErrorMessage="1" sqref="AL38:AM138 C6:D106 AV138:AV159 J61:K161 H33 T33:T132 AR51:AR129 H35:H132 R61:S161 N61:O161 AH139:AH145 AH38:AI138 AP38:AQ138">
      <formula1>0</formula1>
      <formula2>1</formula2>
    </dataValidation>
    <dataValidation type="list" allowBlank="1" showInputMessage="1" showErrorMessage="1" sqref="X53 X28">
      <formula1>$AA$41:$AA$43</formula1>
    </dataValidation>
    <dataValidation type="list" allowBlank="1" showInputMessage="1" showErrorMessage="1" sqref="X52 X27">
      <formula1>$AB$42:$AB$43</formula1>
    </dataValidation>
    <dataValidation type="list" allowBlank="1" showInputMessage="1" showErrorMessage="1" sqref="X55 X29">
      <formula1>$I$15:$I$29</formula1>
    </dataValidation>
    <dataValidation showInputMessage="1" showErrorMessage="1" sqref="W6:X6"/>
    <dataValidation type="list" allowBlank="1" showInputMessage="1" showErrorMessage="1" sqref="I5 AG5">
      <formula1>"0,1"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AJ106"/>
  <sheetViews>
    <sheetView topLeftCell="I1" workbookViewId="0">
      <selection activeCell="Y35" sqref="Y35"/>
    </sheetView>
  </sheetViews>
  <sheetFormatPr defaultColWidth="9.140625" defaultRowHeight="12.75"/>
  <cols>
    <col min="1" max="1" width="6.85546875" style="2" customWidth="1"/>
    <col min="2" max="2" width="9.140625" style="2" customWidth="1"/>
    <col min="3" max="3" width="9.28515625" style="2" customWidth="1"/>
    <col min="4" max="4" width="12" style="2" customWidth="1"/>
    <col min="5" max="5" width="10.42578125" style="2" customWidth="1"/>
    <col min="6" max="6" width="9.140625" style="2"/>
    <col min="7" max="7" width="7.42578125" style="2" customWidth="1"/>
    <col min="8" max="8" width="2.7109375" style="125" customWidth="1"/>
    <col min="9" max="9" width="5.7109375" style="2" customWidth="1"/>
    <col min="10" max="10" width="11.140625" style="2" customWidth="1"/>
    <col min="11" max="11" width="9.140625" style="2"/>
    <col min="12" max="12" width="12.42578125" style="2" customWidth="1"/>
    <col min="13" max="16" width="9.140625" style="2"/>
    <col min="17" max="17" width="12.42578125" style="2" customWidth="1"/>
    <col min="18" max="19" width="9.140625" style="2"/>
    <col min="20" max="20" width="2.85546875" style="125" customWidth="1"/>
    <col min="21" max="21" width="5" style="2" customWidth="1"/>
    <col min="22" max="22" width="12.7109375" style="2" customWidth="1"/>
    <col min="23" max="23" width="8.85546875" style="2" customWidth="1"/>
    <col min="24" max="24" width="10.42578125" style="2" customWidth="1"/>
    <col min="25" max="25" width="9.140625" style="2"/>
    <col min="26" max="26" width="10.85546875" style="2" customWidth="1"/>
    <col min="27" max="27" width="12.42578125" style="2" customWidth="1"/>
    <col min="28" max="28" width="10" style="2" customWidth="1"/>
    <col min="29" max="29" width="11.140625" style="2" customWidth="1"/>
    <col min="30" max="30" width="11.28515625" style="2" customWidth="1"/>
    <col min="31" max="31" width="11.85546875" style="2" customWidth="1"/>
    <col min="32" max="16384" width="9.140625" style="2"/>
  </cols>
  <sheetData>
    <row r="1" spans="1:33" s="14" customFormat="1" ht="20.25">
      <c r="A1" s="13" t="s">
        <v>23</v>
      </c>
      <c r="H1" s="123"/>
      <c r="I1" s="13" t="s">
        <v>272</v>
      </c>
      <c r="J1" s="15"/>
      <c r="K1" s="15"/>
      <c r="L1" s="15"/>
      <c r="M1" s="15"/>
      <c r="N1" s="15"/>
      <c r="O1" s="15"/>
      <c r="P1" s="15"/>
      <c r="Q1" s="15"/>
      <c r="R1" s="15"/>
      <c r="S1" s="15"/>
      <c r="T1" s="126"/>
      <c r="U1" s="13" t="s">
        <v>273</v>
      </c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1:33" s="22" customFormat="1" ht="12.75" customHeight="1">
      <c r="A2" s="21"/>
      <c r="H2" s="124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125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>
      <c r="A3" s="12" t="s">
        <v>283</v>
      </c>
      <c r="I3" s="12" t="s">
        <v>21</v>
      </c>
      <c r="U3" s="12" t="s">
        <v>384</v>
      </c>
    </row>
    <row r="5" spans="1:33" ht="14.25">
      <c r="B5" s="2" t="s">
        <v>282</v>
      </c>
      <c r="C5" s="2" t="s">
        <v>13</v>
      </c>
      <c r="D5" s="2" t="s">
        <v>12</v>
      </c>
      <c r="J5" s="2" t="s">
        <v>282</v>
      </c>
      <c r="K5" s="2" t="s">
        <v>13</v>
      </c>
      <c r="L5" s="2" t="s">
        <v>12</v>
      </c>
      <c r="N5" s="12" t="s">
        <v>382</v>
      </c>
      <c r="V5" s="1"/>
      <c r="W5" s="110" t="s">
        <v>15</v>
      </c>
      <c r="X5" s="134"/>
      <c r="Y5" s="134"/>
      <c r="Z5" s="1"/>
      <c r="AA5" s="110" t="s">
        <v>16</v>
      </c>
      <c r="AB5" s="134"/>
      <c r="AC5" s="134"/>
      <c r="AD5" s="1"/>
      <c r="AE5" s="110" t="s">
        <v>17</v>
      </c>
      <c r="AF5" s="35"/>
    </row>
    <row r="6" spans="1:33" ht="14.25">
      <c r="B6" s="24">
        <v>0</v>
      </c>
      <c r="C6" s="25">
        <v>0</v>
      </c>
      <c r="D6" s="25">
        <v>0</v>
      </c>
      <c r="J6" s="24">
        <v>0</v>
      </c>
      <c r="K6" s="25">
        <v>0</v>
      </c>
      <c r="L6" s="25">
        <v>0</v>
      </c>
      <c r="V6" s="139" t="s">
        <v>294</v>
      </c>
      <c r="W6" s="18" t="s">
        <v>385</v>
      </c>
      <c r="X6" s="18" t="s">
        <v>386</v>
      </c>
      <c r="Y6" s="18"/>
      <c r="Z6" s="139" t="s">
        <v>294</v>
      </c>
      <c r="AA6" s="18" t="s">
        <v>385</v>
      </c>
      <c r="AB6" s="18" t="s">
        <v>386</v>
      </c>
      <c r="AC6" s="18"/>
      <c r="AD6" s="139" t="s">
        <v>294</v>
      </c>
      <c r="AE6" s="18" t="s">
        <v>385</v>
      </c>
      <c r="AF6" s="18" t="s">
        <v>386</v>
      </c>
    </row>
    <row r="7" spans="1:33" ht="14.25">
      <c r="B7" s="24">
        <v>1</v>
      </c>
      <c r="C7" s="25">
        <v>0</v>
      </c>
      <c r="D7" s="25">
        <v>0</v>
      </c>
      <c r="J7" s="24">
        <v>1</v>
      </c>
      <c r="K7" s="25">
        <v>0</v>
      </c>
      <c r="L7" s="25">
        <v>0</v>
      </c>
      <c r="P7" s="2" t="s">
        <v>381</v>
      </c>
      <c r="Q7" s="2" t="s">
        <v>71</v>
      </c>
      <c r="V7" s="18" t="s">
        <v>98</v>
      </c>
      <c r="W7" s="8">
        <v>0</v>
      </c>
      <c r="X7" s="8">
        <v>0</v>
      </c>
      <c r="Y7" s="35"/>
      <c r="Z7" s="18" t="s">
        <v>98</v>
      </c>
      <c r="AA7" s="8">
        <v>0</v>
      </c>
      <c r="AB7" s="8">
        <v>0</v>
      </c>
      <c r="AC7" s="35"/>
      <c r="AD7" s="18" t="s">
        <v>98</v>
      </c>
      <c r="AE7" s="8">
        <v>0</v>
      </c>
      <c r="AF7" s="8">
        <v>0</v>
      </c>
    </row>
    <row r="8" spans="1:33" ht="14.25">
      <c r="B8" s="24">
        <v>2</v>
      </c>
      <c r="C8" s="25">
        <v>0</v>
      </c>
      <c r="D8" s="25">
        <v>0</v>
      </c>
      <c r="J8" s="24">
        <v>2</v>
      </c>
      <c r="K8" s="25">
        <v>0</v>
      </c>
      <c r="L8" s="25">
        <v>0</v>
      </c>
      <c r="O8" s="2" t="str">
        <f>Simulation!B12</f>
        <v>LungCancer</v>
      </c>
      <c r="P8" s="8">
        <v>1</v>
      </c>
      <c r="Q8" s="8">
        <v>3</v>
      </c>
      <c r="V8" s="18" t="s">
        <v>82</v>
      </c>
      <c r="W8" s="8">
        <v>0</v>
      </c>
      <c r="X8" s="8">
        <v>0</v>
      </c>
      <c r="Y8" s="35"/>
      <c r="Z8" s="18" t="s">
        <v>82</v>
      </c>
      <c r="AA8" s="8">
        <v>0</v>
      </c>
      <c r="AB8" s="8">
        <v>0</v>
      </c>
      <c r="AC8" s="35"/>
      <c r="AD8" s="18" t="s">
        <v>82</v>
      </c>
      <c r="AE8" s="8">
        <v>0</v>
      </c>
      <c r="AF8" s="8">
        <v>0</v>
      </c>
    </row>
    <row r="9" spans="1:33" ht="14.25">
      <c r="B9" s="24">
        <v>3</v>
      </c>
      <c r="C9" s="25">
        <v>0</v>
      </c>
      <c r="D9" s="25">
        <v>0</v>
      </c>
      <c r="J9" s="24">
        <v>3</v>
      </c>
      <c r="K9" s="25">
        <v>0</v>
      </c>
      <c r="L9" s="25">
        <v>0</v>
      </c>
      <c r="O9" s="2" t="str">
        <f>Simulation!B13</f>
        <v>COPD</v>
      </c>
      <c r="P9" s="8">
        <v>1</v>
      </c>
      <c r="Q9" s="8">
        <v>3</v>
      </c>
      <c r="V9" s="18" t="s">
        <v>83</v>
      </c>
      <c r="W9" s="8">
        <v>0</v>
      </c>
      <c r="X9" s="8">
        <v>0</v>
      </c>
      <c r="Y9" s="35"/>
      <c r="Z9" s="18" t="s">
        <v>83</v>
      </c>
      <c r="AA9" s="8">
        <v>0</v>
      </c>
      <c r="AB9" s="8">
        <v>0</v>
      </c>
      <c r="AC9" s="35"/>
      <c r="AD9" s="18" t="s">
        <v>83</v>
      </c>
      <c r="AE9" s="8">
        <v>0</v>
      </c>
      <c r="AF9" s="8">
        <v>0</v>
      </c>
    </row>
    <row r="10" spans="1:33" ht="14.25">
      <c r="B10" s="24">
        <v>4</v>
      </c>
      <c r="C10" s="25">
        <v>0</v>
      </c>
      <c r="D10" s="25">
        <v>0</v>
      </c>
      <c r="J10" s="24">
        <v>4</v>
      </c>
      <c r="K10" s="25">
        <v>0</v>
      </c>
      <c r="L10" s="25">
        <v>0</v>
      </c>
      <c r="O10" s="2" t="str">
        <f>Simulation!B14</f>
        <v>MI</v>
      </c>
      <c r="P10" s="8">
        <v>1</v>
      </c>
      <c r="Q10" s="8">
        <v>3</v>
      </c>
      <c r="V10" s="18" t="s">
        <v>84</v>
      </c>
      <c r="W10" s="8">
        <v>0</v>
      </c>
      <c r="X10" s="8">
        <v>0</v>
      </c>
      <c r="Y10" s="35"/>
      <c r="Z10" s="18" t="s">
        <v>84</v>
      </c>
      <c r="AA10" s="8">
        <v>0</v>
      </c>
      <c r="AB10" s="8">
        <v>0</v>
      </c>
      <c r="AC10" s="35"/>
      <c r="AD10" s="18" t="s">
        <v>84</v>
      </c>
      <c r="AE10" s="8">
        <v>0</v>
      </c>
      <c r="AF10" s="8">
        <v>0</v>
      </c>
    </row>
    <row r="11" spans="1:33" ht="14.25">
      <c r="B11" s="24">
        <v>5</v>
      </c>
      <c r="C11" s="25">
        <v>0</v>
      </c>
      <c r="D11" s="25">
        <v>0</v>
      </c>
      <c r="J11" s="24">
        <v>5</v>
      </c>
      <c r="K11" s="25">
        <v>0</v>
      </c>
      <c r="L11" s="25">
        <v>0</v>
      </c>
      <c r="O11" s="2" t="str">
        <f>Simulation!B15</f>
        <v>Stroke</v>
      </c>
      <c r="P11" s="8">
        <v>1</v>
      </c>
      <c r="Q11" s="8">
        <v>3</v>
      </c>
      <c r="V11" s="18" t="s">
        <v>85</v>
      </c>
      <c r="W11" s="8">
        <v>0</v>
      </c>
      <c r="X11" s="8">
        <v>0</v>
      </c>
      <c r="Y11" s="35"/>
      <c r="Z11" s="18" t="s">
        <v>85</v>
      </c>
      <c r="AA11" s="8">
        <v>0</v>
      </c>
      <c r="AB11" s="8">
        <v>0</v>
      </c>
      <c r="AC11" s="35"/>
      <c r="AD11" s="18" t="s">
        <v>85</v>
      </c>
      <c r="AE11" s="8">
        <v>0</v>
      </c>
      <c r="AF11" s="8">
        <v>0</v>
      </c>
    </row>
    <row r="12" spans="1:33" ht="14.25">
      <c r="B12" s="24">
        <v>6</v>
      </c>
      <c r="C12" s="25">
        <v>0</v>
      </c>
      <c r="D12" s="25">
        <v>0</v>
      </c>
      <c r="J12" s="24">
        <v>6</v>
      </c>
      <c r="K12" s="25">
        <v>0</v>
      </c>
      <c r="L12" s="25">
        <v>0</v>
      </c>
      <c r="O12" s="2" t="str">
        <f>Simulation!B16</f>
        <v>OthEvent</v>
      </c>
      <c r="P12" s="8">
        <v>1</v>
      </c>
      <c r="Q12" s="8">
        <v>3</v>
      </c>
      <c r="V12" s="18" t="s">
        <v>86</v>
      </c>
      <c r="W12" s="8">
        <v>0</v>
      </c>
      <c r="X12" s="8">
        <v>0</v>
      </c>
      <c r="Y12" s="35"/>
      <c r="Z12" s="18" t="s">
        <v>86</v>
      </c>
      <c r="AA12" s="8">
        <v>0</v>
      </c>
      <c r="AB12" s="8">
        <v>0</v>
      </c>
      <c r="AC12" s="35"/>
      <c r="AD12" s="18" t="s">
        <v>86</v>
      </c>
      <c r="AE12" s="8">
        <v>0</v>
      </c>
      <c r="AF12" s="8">
        <v>0</v>
      </c>
    </row>
    <row r="13" spans="1:33" ht="14.25">
      <c r="B13" s="24">
        <v>7</v>
      </c>
      <c r="C13" s="25">
        <v>0</v>
      </c>
      <c r="D13" s="25">
        <v>0</v>
      </c>
      <c r="J13" s="24">
        <v>7</v>
      </c>
      <c r="K13" s="25">
        <v>0</v>
      </c>
      <c r="L13" s="25">
        <v>0</v>
      </c>
      <c r="V13" s="18" t="s">
        <v>87</v>
      </c>
      <c r="W13" s="8">
        <v>0</v>
      </c>
      <c r="X13" s="8">
        <v>0</v>
      </c>
      <c r="Y13" s="35"/>
      <c r="Z13" s="18" t="s">
        <v>87</v>
      </c>
      <c r="AA13" s="8">
        <v>0</v>
      </c>
      <c r="AB13" s="8">
        <v>0</v>
      </c>
      <c r="AC13" s="35"/>
      <c r="AD13" s="18" t="s">
        <v>87</v>
      </c>
      <c r="AE13" s="8">
        <v>0</v>
      </c>
      <c r="AF13" s="8">
        <v>0</v>
      </c>
    </row>
    <row r="14" spans="1:33" ht="14.25">
      <c r="B14" s="24">
        <v>8</v>
      </c>
      <c r="C14" s="25">
        <v>0</v>
      </c>
      <c r="D14" s="25">
        <v>0</v>
      </c>
      <c r="E14" s="17"/>
      <c r="J14" s="24">
        <v>8</v>
      </c>
      <c r="K14" s="25">
        <v>0</v>
      </c>
      <c r="L14" s="25">
        <v>0</v>
      </c>
      <c r="N14" s="12"/>
      <c r="V14" s="18" t="s">
        <v>88</v>
      </c>
      <c r="W14" s="8">
        <v>0</v>
      </c>
      <c r="X14" s="8">
        <v>0</v>
      </c>
      <c r="Y14" s="35"/>
      <c r="Z14" s="18" t="s">
        <v>88</v>
      </c>
      <c r="AA14" s="8">
        <v>0</v>
      </c>
      <c r="AB14" s="8">
        <v>0</v>
      </c>
      <c r="AC14" s="35"/>
      <c r="AD14" s="18" t="s">
        <v>88</v>
      </c>
      <c r="AE14" s="8">
        <v>0</v>
      </c>
      <c r="AF14" s="8">
        <v>0</v>
      </c>
    </row>
    <row r="15" spans="1:33" ht="14.25">
      <c r="B15" s="24">
        <v>9</v>
      </c>
      <c r="C15" s="25">
        <v>0</v>
      </c>
      <c r="D15" s="25">
        <v>0</v>
      </c>
      <c r="E15" s="18"/>
      <c r="J15" s="24">
        <v>9</v>
      </c>
      <c r="K15" s="25">
        <v>0</v>
      </c>
      <c r="L15" s="25">
        <v>0</v>
      </c>
      <c r="N15" s="12" t="s">
        <v>383</v>
      </c>
      <c r="V15" s="18" t="s">
        <v>89</v>
      </c>
      <c r="W15" s="8">
        <v>0</v>
      </c>
      <c r="X15" s="8">
        <v>0</v>
      </c>
      <c r="Y15" s="35"/>
      <c r="Z15" s="18" t="s">
        <v>89</v>
      </c>
      <c r="AA15" s="8">
        <v>0</v>
      </c>
      <c r="AB15" s="8">
        <v>0</v>
      </c>
      <c r="AC15" s="35"/>
      <c r="AD15" s="18" t="s">
        <v>89</v>
      </c>
      <c r="AE15" s="8">
        <v>0</v>
      </c>
      <c r="AF15" s="8">
        <v>0</v>
      </c>
    </row>
    <row r="16" spans="1:33" ht="14.25">
      <c r="B16" s="24">
        <v>10</v>
      </c>
      <c r="C16" s="25">
        <v>0</v>
      </c>
      <c r="D16" s="25">
        <v>0</v>
      </c>
      <c r="J16" s="24">
        <v>10</v>
      </c>
      <c r="K16" s="25">
        <v>0</v>
      </c>
      <c r="L16" s="25">
        <v>0</v>
      </c>
      <c r="V16" s="18" t="s">
        <v>90</v>
      </c>
      <c r="W16" s="8">
        <v>0</v>
      </c>
      <c r="X16" s="8">
        <v>0</v>
      </c>
      <c r="Y16" s="35"/>
      <c r="Z16" s="18" t="s">
        <v>90</v>
      </c>
      <c r="AA16" s="8">
        <v>0</v>
      </c>
      <c r="AB16" s="8">
        <v>0</v>
      </c>
      <c r="AC16" s="35"/>
      <c r="AD16" s="18" t="s">
        <v>90</v>
      </c>
      <c r="AE16" s="8">
        <v>0</v>
      </c>
      <c r="AF16" s="8">
        <v>0</v>
      </c>
    </row>
    <row r="17" spans="2:32" ht="14.25">
      <c r="B17" s="24">
        <v>11</v>
      </c>
      <c r="C17" s="25">
        <v>0</v>
      </c>
      <c r="D17" s="25">
        <v>0</v>
      </c>
      <c r="J17" s="24">
        <v>11</v>
      </c>
      <c r="K17" s="25">
        <v>0</v>
      </c>
      <c r="L17" s="25">
        <v>0</v>
      </c>
      <c r="P17" s="2" t="s">
        <v>381</v>
      </c>
      <c r="Q17" s="2" t="s">
        <v>71</v>
      </c>
      <c r="V17" s="18" t="s">
        <v>91</v>
      </c>
      <c r="W17" s="8">
        <v>0</v>
      </c>
      <c r="X17" s="8">
        <v>0</v>
      </c>
      <c r="Y17" s="35"/>
      <c r="Z17" s="18" t="s">
        <v>91</v>
      </c>
      <c r="AA17" s="8">
        <v>0</v>
      </c>
      <c r="AB17" s="8">
        <v>0</v>
      </c>
      <c r="AC17" s="35"/>
      <c r="AD17" s="18" t="s">
        <v>91</v>
      </c>
      <c r="AE17" s="8">
        <v>0</v>
      </c>
      <c r="AF17" s="8">
        <v>0</v>
      </c>
    </row>
    <row r="18" spans="2:32" ht="14.25">
      <c r="B18" s="24">
        <v>12</v>
      </c>
      <c r="C18" s="25">
        <v>0</v>
      </c>
      <c r="D18" s="25">
        <v>0</v>
      </c>
      <c r="J18" s="24">
        <v>12</v>
      </c>
      <c r="K18" s="25">
        <v>0</v>
      </c>
      <c r="L18" s="25">
        <v>0</v>
      </c>
      <c r="O18" s="2" t="str">
        <f>O8</f>
        <v>LungCancer</v>
      </c>
      <c r="P18" s="8">
        <v>1</v>
      </c>
      <c r="Q18" s="8">
        <v>3</v>
      </c>
      <c r="V18" s="18" t="s">
        <v>92</v>
      </c>
      <c r="W18" s="8">
        <v>0</v>
      </c>
      <c r="X18" s="8">
        <v>0</v>
      </c>
      <c r="Y18" s="35"/>
      <c r="Z18" s="18" t="s">
        <v>92</v>
      </c>
      <c r="AA18" s="8">
        <v>0</v>
      </c>
      <c r="AB18" s="8">
        <v>0</v>
      </c>
      <c r="AC18" s="35"/>
      <c r="AD18" s="18" t="s">
        <v>92</v>
      </c>
      <c r="AE18" s="8">
        <v>0</v>
      </c>
      <c r="AF18" s="8">
        <v>0</v>
      </c>
    </row>
    <row r="19" spans="2:32" ht="14.25">
      <c r="B19" s="24">
        <v>13</v>
      </c>
      <c r="C19" s="25">
        <v>0</v>
      </c>
      <c r="D19" s="25">
        <v>0</v>
      </c>
      <c r="J19" s="24">
        <v>13</v>
      </c>
      <c r="K19" s="25">
        <v>0</v>
      </c>
      <c r="L19" s="25">
        <v>0</v>
      </c>
      <c r="O19" s="2" t="str">
        <f>O9</f>
        <v>COPD</v>
      </c>
      <c r="P19" s="8">
        <v>1</v>
      </c>
      <c r="Q19" s="8">
        <v>3</v>
      </c>
      <c r="V19" s="18" t="s">
        <v>93</v>
      </c>
      <c r="W19" s="8">
        <v>0</v>
      </c>
      <c r="X19" s="8">
        <v>0</v>
      </c>
      <c r="Y19" s="35"/>
      <c r="Z19" s="18" t="s">
        <v>93</v>
      </c>
      <c r="AA19" s="8">
        <v>0</v>
      </c>
      <c r="AB19" s="8">
        <v>0</v>
      </c>
      <c r="AC19" s="35"/>
      <c r="AD19" s="18" t="s">
        <v>93</v>
      </c>
      <c r="AE19" s="8">
        <v>0</v>
      </c>
      <c r="AF19" s="8">
        <v>0</v>
      </c>
    </row>
    <row r="20" spans="2:32" ht="14.25">
      <c r="B20" s="24">
        <v>14</v>
      </c>
      <c r="C20" s="25">
        <v>0</v>
      </c>
      <c r="D20" s="25">
        <v>0</v>
      </c>
      <c r="J20" s="24">
        <v>14</v>
      </c>
      <c r="K20" s="25">
        <v>0</v>
      </c>
      <c r="L20" s="25">
        <v>0</v>
      </c>
      <c r="O20" s="2" t="str">
        <f>O10</f>
        <v>MI</v>
      </c>
      <c r="P20" s="8">
        <v>1</v>
      </c>
      <c r="Q20" s="8">
        <v>3</v>
      </c>
      <c r="V20" s="140" t="s">
        <v>94</v>
      </c>
      <c r="W20" s="8">
        <v>0</v>
      </c>
      <c r="X20" s="8">
        <v>0</v>
      </c>
      <c r="Y20" s="142"/>
      <c r="Z20" s="140" t="s">
        <v>94</v>
      </c>
      <c r="AA20" s="8">
        <v>0</v>
      </c>
      <c r="AB20" s="8">
        <v>0</v>
      </c>
      <c r="AC20" s="142"/>
      <c r="AD20" s="140" t="s">
        <v>94</v>
      </c>
      <c r="AE20" s="8">
        <v>0</v>
      </c>
      <c r="AF20" s="8">
        <v>0</v>
      </c>
    </row>
    <row r="21" spans="2:32" ht="14.25">
      <c r="B21" s="24">
        <v>15</v>
      </c>
      <c r="C21" s="25">
        <v>0</v>
      </c>
      <c r="D21" s="25">
        <v>0</v>
      </c>
      <c r="J21" s="24">
        <v>15</v>
      </c>
      <c r="K21" s="25">
        <v>0</v>
      </c>
      <c r="L21" s="25">
        <v>0</v>
      </c>
      <c r="O21" s="2" t="str">
        <f>O11</f>
        <v>Stroke</v>
      </c>
      <c r="P21" s="8">
        <v>1</v>
      </c>
      <c r="Q21" s="8">
        <v>3</v>
      </c>
      <c r="V21" s="137" t="s">
        <v>95</v>
      </c>
      <c r="W21" s="8">
        <v>0</v>
      </c>
      <c r="X21" s="8">
        <v>0</v>
      </c>
      <c r="Y21" s="142"/>
      <c r="Z21" s="137" t="s">
        <v>95</v>
      </c>
      <c r="AA21" s="8">
        <v>0</v>
      </c>
      <c r="AB21" s="8">
        <v>0</v>
      </c>
      <c r="AC21" s="142"/>
      <c r="AD21" s="137" t="s">
        <v>95</v>
      </c>
      <c r="AE21" s="8">
        <v>0</v>
      </c>
      <c r="AF21" s="8">
        <v>0</v>
      </c>
    </row>
    <row r="22" spans="2:32">
      <c r="B22" s="24">
        <v>16</v>
      </c>
      <c r="C22" s="25">
        <v>0</v>
      </c>
      <c r="D22" s="25">
        <v>0</v>
      </c>
      <c r="J22" s="24">
        <v>16</v>
      </c>
      <c r="K22" s="25">
        <v>0</v>
      </c>
      <c r="L22" s="25">
        <v>0</v>
      </c>
      <c r="O22" s="2" t="str">
        <f>O12</f>
        <v>OthEvent</v>
      </c>
      <c r="P22" s="8">
        <v>1</v>
      </c>
      <c r="Q22" s="8">
        <v>3</v>
      </c>
    </row>
    <row r="23" spans="2:32" ht="18">
      <c r="B23" s="24">
        <v>17</v>
      </c>
      <c r="C23" s="25">
        <v>0</v>
      </c>
      <c r="D23" s="25">
        <v>0</v>
      </c>
      <c r="J23" s="24">
        <v>17</v>
      </c>
      <c r="K23" s="25">
        <v>0</v>
      </c>
      <c r="L23" s="25">
        <v>0</v>
      </c>
      <c r="V23" s="194" t="s">
        <v>387</v>
      </c>
    </row>
    <row r="24" spans="2:32">
      <c r="B24" s="24">
        <v>18</v>
      </c>
      <c r="C24" s="25">
        <v>0</v>
      </c>
      <c r="D24" s="25">
        <v>0</v>
      </c>
      <c r="J24" s="24">
        <v>18</v>
      </c>
      <c r="K24" s="25">
        <v>0</v>
      </c>
      <c r="L24" s="25">
        <v>0</v>
      </c>
      <c r="V24" s="2" t="s">
        <v>388</v>
      </c>
    </row>
    <row r="25" spans="2:32">
      <c r="B25" s="24">
        <v>19</v>
      </c>
      <c r="C25" s="25">
        <v>0</v>
      </c>
      <c r="D25" s="25">
        <v>0</v>
      </c>
      <c r="J25" s="24">
        <v>19</v>
      </c>
      <c r="K25" s="25">
        <v>0</v>
      </c>
      <c r="L25" s="25">
        <v>0</v>
      </c>
    </row>
    <row r="26" spans="2:32">
      <c r="B26" s="24">
        <v>20</v>
      </c>
      <c r="C26" s="25">
        <v>0</v>
      </c>
      <c r="D26" s="25">
        <v>0</v>
      </c>
      <c r="J26" s="24">
        <v>20</v>
      </c>
      <c r="K26" s="25">
        <v>0</v>
      </c>
      <c r="L26" s="25">
        <v>0</v>
      </c>
    </row>
    <row r="27" spans="2:32">
      <c r="B27" s="24">
        <v>21</v>
      </c>
      <c r="C27" s="25">
        <v>0</v>
      </c>
      <c r="D27" s="25">
        <v>0</v>
      </c>
      <c r="J27" s="24">
        <v>21</v>
      </c>
      <c r="K27" s="25">
        <v>0</v>
      </c>
      <c r="L27" s="25">
        <v>0</v>
      </c>
    </row>
    <row r="28" spans="2:32">
      <c r="B28" s="24">
        <v>22</v>
      </c>
      <c r="C28" s="25">
        <v>0</v>
      </c>
      <c r="D28" s="25">
        <v>0</v>
      </c>
      <c r="J28" s="24">
        <v>22</v>
      </c>
      <c r="K28" s="25">
        <v>0</v>
      </c>
      <c r="L28" s="25">
        <v>0</v>
      </c>
    </row>
    <row r="29" spans="2:32">
      <c r="B29" s="24">
        <v>23</v>
      </c>
      <c r="C29" s="25">
        <v>0</v>
      </c>
      <c r="D29" s="25">
        <v>0</v>
      </c>
      <c r="J29" s="24">
        <v>23</v>
      </c>
      <c r="K29" s="25">
        <v>0</v>
      </c>
      <c r="L29" s="25">
        <v>0</v>
      </c>
    </row>
    <row r="30" spans="2:32">
      <c r="B30" s="24">
        <v>24</v>
      </c>
      <c r="C30" s="25">
        <v>0</v>
      </c>
      <c r="D30" s="25">
        <v>0</v>
      </c>
      <c r="J30" s="24">
        <v>24</v>
      </c>
      <c r="K30" s="25">
        <v>0</v>
      </c>
      <c r="L30" s="25">
        <v>0</v>
      </c>
    </row>
    <row r="31" spans="2:32">
      <c r="B31" s="24">
        <v>25</v>
      </c>
      <c r="C31" s="25">
        <v>0</v>
      </c>
      <c r="D31" s="25">
        <v>0</v>
      </c>
      <c r="J31" s="24">
        <v>25</v>
      </c>
      <c r="K31" s="25">
        <v>0</v>
      </c>
      <c r="L31" s="25">
        <v>0</v>
      </c>
    </row>
    <row r="32" spans="2:32">
      <c r="B32" s="24">
        <v>26</v>
      </c>
      <c r="C32" s="25">
        <v>0</v>
      </c>
      <c r="D32" s="25">
        <v>0</v>
      </c>
      <c r="J32" s="24">
        <v>26</v>
      </c>
      <c r="K32" s="25">
        <v>0</v>
      </c>
      <c r="L32" s="25">
        <v>0</v>
      </c>
    </row>
    <row r="33" spans="2:36">
      <c r="B33" s="24">
        <v>27</v>
      </c>
      <c r="C33" s="25">
        <v>0</v>
      </c>
      <c r="D33" s="25">
        <v>0</v>
      </c>
      <c r="J33" s="24">
        <v>27</v>
      </c>
      <c r="K33" s="25">
        <v>0</v>
      </c>
      <c r="L33" s="25">
        <v>0</v>
      </c>
    </row>
    <row r="34" spans="2:36">
      <c r="B34" s="24">
        <v>28</v>
      </c>
      <c r="C34" s="25">
        <v>0</v>
      </c>
      <c r="D34" s="25">
        <v>0</v>
      </c>
      <c r="J34" s="24">
        <v>28</v>
      </c>
      <c r="K34" s="25">
        <v>0</v>
      </c>
      <c r="L34" s="25">
        <v>0</v>
      </c>
    </row>
    <row r="35" spans="2:36">
      <c r="B35" s="24">
        <v>29</v>
      </c>
      <c r="C35" s="25">
        <v>0</v>
      </c>
      <c r="D35" s="25">
        <v>0</v>
      </c>
      <c r="J35" s="24">
        <v>29</v>
      </c>
      <c r="K35" s="25">
        <v>0</v>
      </c>
      <c r="L35" s="25">
        <v>0</v>
      </c>
    </row>
    <row r="36" spans="2:36">
      <c r="B36" s="24">
        <v>30</v>
      </c>
      <c r="C36" s="25">
        <v>0</v>
      </c>
      <c r="D36" s="25">
        <v>0</v>
      </c>
      <c r="J36" s="24">
        <v>30</v>
      </c>
      <c r="K36" s="25">
        <v>0</v>
      </c>
      <c r="L36" s="25">
        <v>0</v>
      </c>
    </row>
    <row r="37" spans="2:36">
      <c r="B37" s="24">
        <v>31</v>
      </c>
      <c r="C37" s="25">
        <v>0</v>
      </c>
      <c r="D37" s="25">
        <v>0</v>
      </c>
      <c r="J37" s="24">
        <v>31</v>
      </c>
      <c r="K37" s="25">
        <v>0</v>
      </c>
      <c r="L37" s="25">
        <v>0</v>
      </c>
    </row>
    <row r="38" spans="2:36">
      <c r="B38" s="24">
        <v>32</v>
      </c>
      <c r="C38" s="25">
        <v>0</v>
      </c>
      <c r="D38" s="25">
        <v>0</v>
      </c>
      <c r="J38" s="24">
        <v>32</v>
      </c>
      <c r="K38" s="25">
        <v>0</v>
      </c>
      <c r="L38" s="25">
        <v>0</v>
      </c>
    </row>
    <row r="39" spans="2:36">
      <c r="B39" s="24">
        <v>33</v>
      </c>
      <c r="C39" s="25">
        <v>0</v>
      </c>
      <c r="D39" s="25">
        <v>0</v>
      </c>
      <c r="J39" s="24">
        <v>33</v>
      </c>
      <c r="K39" s="25">
        <v>0</v>
      </c>
      <c r="L39" s="25">
        <v>0</v>
      </c>
    </row>
    <row r="40" spans="2:36">
      <c r="B40" s="24">
        <v>34</v>
      </c>
      <c r="C40" s="25">
        <v>0</v>
      </c>
      <c r="D40" s="25">
        <v>0</v>
      </c>
      <c r="J40" s="24">
        <v>34</v>
      </c>
      <c r="K40" s="25">
        <v>0</v>
      </c>
      <c r="L40" s="25">
        <v>0</v>
      </c>
    </row>
    <row r="41" spans="2:36">
      <c r="B41" s="24">
        <v>35</v>
      </c>
      <c r="C41" s="25">
        <v>0</v>
      </c>
      <c r="D41" s="25">
        <v>0</v>
      </c>
      <c r="J41" s="24">
        <v>35</v>
      </c>
      <c r="K41" s="25">
        <v>0</v>
      </c>
      <c r="L41" s="25">
        <v>0</v>
      </c>
    </row>
    <row r="42" spans="2:36">
      <c r="B42" s="24">
        <v>36</v>
      </c>
      <c r="C42" s="25">
        <v>0</v>
      </c>
      <c r="D42" s="25">
        <v>0</v>
      </c>
      <c r="J42" s="24">
        <v>36</v>
      </c>
      <c r="K42" s="25">
        <v>0</v>
      </c>
      <c r="L42" s="25">
        <v>0</v>
      </c>
    </row>
    <row r="43" spans="2:36">
      <c r="B43" s="24">
        <v>37</v>
      </c>
      <c r="C43" s="25">
        <v>0</v>
      </c>
      <c r="D43" s="25">
        <v>0</v>
      </c>
      <c r="J43" s="24">
        <v>37</v>
      </c>
      <c r="K43" s="25">
        <v>0</v>
      </c>
      <c r="L43" s="25">
        <v>0</v>
      </c>
    </row>
    <row r="44" spans="2:36">
      <c r="B44" s="24">
        <v>38</v>
      </c>
      <c r="C44" s="25">
        <v>0</v>
      </c>
      <c r="D44" s="25">
        <v>0</v>
      </c>
      <c r="J44" s="24">
        <v>38</v>
      </c>
      <c r="K44" s="25">
        <v>0</v>
      </c>
      <c r="L44" s="25">
        <v>0</v>
      </c>
    </row>
    <row r="45" spans="2:36" ht="15">
      <c r="B45" s="24">
        <v>39</v>
      </c>
      <c r="C45" s="25">
        <v>0</v>
      </c>
      <c r="D45" s="25">
        <v>0</v>
      </c>
      <c r="J45" s="24">
        <v>39</v>
      </c>
      <c r="K45" s="25">
        <v>0</v>
      </c>
      <c r="L45" s="25">
        <v>0</v>
      </c>
      <c r="AG45"/>
      <c r="AH45"/>
      <c r="AI45"/>
      <c r="AJ45"/>
    </row>
    <row r="46" spans="2:36" ht="15">
      <c r="B46" s="24">
        <v>40</v>
      </c>
      <c r="C46" s="25">
        <v>0</v>
      </c>
      <c r="D46" s="25">
        <v>0</v>
      </c>
      <c r="J46" s="24">
        <v>40</v>
      </c>
      <c r="K46" s="25">
        <v>0</v>
      </c>
      <c r="L46" s="25">
        <v>0</v>
      </c>
      <c r="AG46"/>
      <c r="AH46"/>
      <c r="AI46"/>
      <c r="AJ46"/>
    </row>
    <row r="47" spans="2:36" ht="15">
      <c r="B47" s="24">
        <v>41</v>
      </c>
      <c r="C47" s="25">
        <v>0</v>
      </c>
      <c r="D47" s="25">
        <v>0</v>
      </c>
      <c r="J47" s="24">
        <v>41</v>
      </c>
      <c r="K47" s="25">
        <v>0</v>
      </c>
      <c r="L47" s="25">
        <v>0</v>
      </c>
      <c r="AG47"/>
      <c r="AH47"/>
      <c r="AI47"/>
      <c r="AJ47"/>
    </row>
    <row r="48" spans="2:36" ht="15">
      <c r="B48" s="24">
        <v>42</v>
      </c>
      <c r="C48" s="25">
        <v>0</v>
      </c>
      <c r="D48" s="25">
        <v>0</v>
      </c>
      <c r="J48" s="24">
        <v>42</v>
      </c>
      <c r="K48" s="25">
        <v>0</v>
      </c>
      <c r="L48" s="25">
        <v>0</v>
      </c>
      <c r="AG48"/>
      <c r="AH48"/>
      <c r="AI48"/>
      <c r="AJ48"/>
    </row>
    <row r="49" spans="2:36" ht="15">
      <c r="B49" s="24">
        <v>43</v>
      </c>
      <c r="C49" s="25">
        <v>0</v>
      </c>
      <c r="D49" s="25">
        <v>0</v>
      </c>
      <c r="J49" s="24">
        <v>43</v>
      </c>
      <c r="K49" s="25">
        <v>0</v>
      </c>
      <c r="L49" s="25">
        <v>0</v>
      </c>
      <c r="AG49"/>
      <c r="AH49"/>
      <c r="AI49"/>
      <c r="AJ49"/>
    </row>
    <row r="50" spans="2:36" ht="15">
      <c r="B50" s="24">
        <v>44</v>
      </c>
      <c r="C50" s="25">
        <v>0</v>
      </c>
      <c r="D50" s="25">
        <v>0</v>
      </c>
      <c r="J50" s="24">
        <v>44</v>
      </c>
      <c r="K50" s="25">
        <v>0</v>
      </c>
      <c r="L50" s="25">
        <v>0</v>
      </c>
      <c r="AG50"/>
      <c r="AH50"/>
      <c r="AI50"/>
      <c r="AJ50"/>
    </row>
    <row r="51" spans="2:36" ht="15">
      <c r="B51" s="24">
        <v>45</v>
      </c>
      <c r="C51" s="25">
        <v>0</v>
      </c>
      <c r="D51" s="25">
        <v>0</v>
      </c>
      <c r="J51" s="24">
        <v>45</v>
      </c>
      <c r="K51" s="25">
        <v>0</v>
      </c>
      <c r="L51" s="25">
        <v>0</v>
      </c>
      <c r="AG51"/>
      <c r="AH51"/>
      <c r="AI51"/>
      <c r="AJ51"/>
    </row>
    <row r="52" spans="2:36" ht="15">
      <c r="B52" s="24">
        <v>46</v>
      </c>
      <c r="C52" s="25">
        <v>0</v>
      </c>
      <c r="D52" s="25">
        <v>0</v>
      </c>
      <c r="J52" s="24">
        <v>46</v>
      </c>
      <c r="K52" s="25">
        <v>0</v>
      </c>
      <c r="L52" s="25">
        <v>0</v>
      </c>
      <c r="AG52"/>
      <c r="AH52"/>
      <c r="AI52"/>
      <c r="AJ52"/>
    </row>
    <row r="53" spans="2:36" ht="15">
      <c r="B53" s="24">
        <v>47</v>
      </c>
      <c r="C53" s="25">
        <v>0</v>
      </c>
      <c r="D53" s="25">
        <v>0</v>
      </c>
      <c r="J53" s="24">
        <v>47</v>
      </c>
      <c r="K53" s="25">
        <v>0</v>
      </c>
      <c r="L53" s="25">
        <v>0</v>
      </c>
      <c r="AG53"/>
      <c r="AH53"/>
      <c r="AI53"/>
      <c r="AJ53"/>
    </row>
    <row r="54" spans="2:36" ht="15">
      <c r="B54" s="24">
        <v>48</v>
      </c>
      <c r="C54" s="25">
        <v>0</v>
      </c>
      <c r="D54" s="25">
        <v>0</v>
      </c>
      <c r="J54" s="24">
        <v>48</v>
      </c>
      <c r="K54" s="25">
        <v>0</v>
      </c>
      <c r="L54" s="25">
        <v>0</v>
      </c>
      <c r="AG54"/>
      <c r="AH54"/>
      <c r="AI54"/>
      <c r="AJ54"/>
    </row>
    <row r="55" spans="2:36" ht="15">
      <c r="B55" s="24">
        <v>49</v>
      </c>
      <c r="C55" s="25">
        <v>0</v>
      </c>
      <c r="D55" s="25">
        <v>0</v>
      </c>
      <c r="J55" s="24">
        <v>49</v>
      </c>
      <c r="K55" s="25">
        <v>0</v>
      </c>
      <c r="L55" s="25">
        <v>0</v>
      </c>
      <c r="AG55"/>
      <c r="AH55"/>
      <c r="AI55"/>
      <c r="AJ55"/>
    </row>
    <row r="56" spans="2:36" ht="15">
      <c r="B56" s="24">
        <v>50</v>
      </c>
      <c r="C56" s="25">
        <v>0</v>
      </c>
      <c r="D56" s="25">
        <v>0</v>
      </c>
      <c r="J56" s="24">
        <v>50</v>
      </c>
      <c r="K56" s="25">
        <v>0</v>
      </c>
      <c r="L56" s="25">
        <v>0</v>
      </c>
      <c r="AG56"/>
      <c r="AH56"/>
      <c r="AI56"/>
      <c r="AJ56"/>
    </row>
    <row r="57" spans="2:36" ht="15">
      <c r="B57" s="24">
        <v>51</v>
      </c>
      <c r="C57" s="25">
        <v>0</v>
      </c>
      <c r="D57" s="25">
        <v>0</v>
      </c>
      <c r="J57" s="24">
        <v>51</v>
      </c>
      <c r="K57" s="25">
        <v>0</v>
      </c>
      <c r="L57" s="25">
        <v>0</v>
      </c>
      <c r="AG57"/>
      <c r="AH57"/>
      <c r="AI57"/>
      <c r="AJ57"/>
    </row>
    <row r="58" spans="2:36" ht="15">
      <c r="B58" s="24">
        <v>52</v>
      </c>
      <c r="C58" s="25">
        <v>0</v>
      </c>
      <c r="D58" s="25">
        <v>0</v>
      </c>
      <c r="J58" s="24">
        <v>52</v>
      </c>
      <c r="K58" s="25">
        <v>0</v>
      </c>
      <c r="L58" s="25">
        <v>0</v>
      </c>
      <c r="AG58"/>
      <c r="AH58"/>
      <c r="AI58"/>
      <c r="AJ58"/>
    </row>
    <row r="59" spans="2:36" ht="15">
      <c r="B59" s="24">
        <v>53</v>
      </c>
      <c r="C59" s="25">
        <v>0</v>
      </c>
      <c r="D59" s="25">
        <v>0</v>
      </c>
      <c r="J59" s="24">
        <v>53</v>
      </c>
      <c r="K59" s="25">
        <v>0</v>
      </c>
      <c r="L59" s="25">
        <v>0</v>
      </c>
      <c r="AG59"/>
      <c r="AH59"/>
      <c r="AI59"/>
      <c r="AJ59"/>
    </row>
    <row r="60" spans="2:36" ht="15">
      <c r="B60" s="24">
        <v>54</v>
      </c>
      <c r="C60" s="25">
        <v>0</v>
      </c>
      <c r="D60" s="25">
        <v>0</v>
      </c>
      <c r="J60" s="24">
        <v>54</v>
      </c>
      <c r="K60" s="25">
        <v>0</v>
      </c>
      <c r="L60" s="25">
        <v>0</v>
      </c>
      <c r="AG60"/>
      <c r="AH60"/>
      <c r="AI60"/>
      <c r="AJ60"/>
    </row>
    <row r="61" spans="2:36" ht="15">
      <c r="B61" s="24">
        <v>55</v>
      </c>
      <c r="C61" s="25">
        <v>0</v>
      </c>
      <c r="D61" s="25">
        <v>0</v>
      </c>
      <c r="J61" s="24">
        <v>55</v>
      </c>
      <c r="K61" s="25">
        <v>0</v>
      </c>
      <c r="L61" s="25">
        <v>0</v>
      </c>
      <c r="AG61"/>
      <c r="AH61"/>
      <c r="AI61"/>
      <c r="AJ61"/>
    </row>
    <row r="62" spans="2:36" ht="15">
      <c r="B62" s="24">
        <v>56</v>
      </c>
      <c r="C62" s="25">
        <v>0</v>
      </c>
      <c r="D62" s="25">
        <v>0</v>
      </c>
      <c r="J62" s="24">
        <v>56</v>
      </c>
      <c r="K62" s="25">
        <v>0</v>
      </c>
      <c r="L62" s="25">
        <v>0</v>
      </c>
      <c r="AG62"/>
      <c r="AH62"/>
      <c r="AI62"/>
      <c r="AJ62"/>
    </row>
    <row r="63" spans="2:36" ht="15">
      <c r="B63" s="24">
        <v>57</v>
      </c>
      <c r="C63" s="25">
        <v>0</v>
      </c>
      <c r="D63" s="25">
        <v>0</v>
      </c>
      <c r="J63" s="24">
        <v>57</v>
      </c>
      <c r="K63" s="25">
        <v>0</v>
      </c>
      <c r="L63" s="25">
        <v>0</v>
      </c>
      <c r="AG63"/>
      <c r="AH63"/>
      <c r="AI63"/>
      <c r="AJ63"/>
    </row>
    <row r="64" spans="2:36" ht="15">
      <c r="B64" s="24">
        <v>58</v>
      </c>
      <c r="C64" s="25">
        <v>0</v>
      </c>
      <c r="D64" s="25">
        <v>0</v>
      </c>
      <c r="J64" s="24">
        <v>58</v>
      </c>
      <c r="K64" s="25">
        <v>0</v>
      </c>
      <c r="L64" s="25">
        <v>0</v>
      </c>
      <c r="AG64"/>
      <c r="AH64"/>
      <c r="AI64"/>
      <c r="AJ64"/>
    </row>
    <row r="65" spans="2:36" ht="15">
      <c r="B65" s="24">
        <v>59</v>
      </c>
      <c r="C65" s="25">
        <v>0</v>
      </c>
      <c r="D65" s="25">
        <v>0</v>
      </c>
      <c r="J65" s="24">
        <v>59</v>
      </c>
      <c r="K65" s="25">
        <v>0</v>
      </c>
      <c r="L65" s="25">
        <v>0</v>
      </c>
      <c r="AG65"/>
      <c r="AH65"/>
      <c r="AI65"/>
      <c r="AJ65"/>
    </row>
    <row r="66" spans="2:36" ht="15">
      <c r="B66" s="24">
        <v>60</v>
      </c>
      <c r="C66" s="25">
        <v>0</v>
      </c>
      <c r="D66" s="25">
        <v>0</v>
      </c>
      <c r="J66" s="24">
        <v>60</v>
      </c>
      <c r="K66" s="25">
        <v>0</v>
      </c>
      <c r="L66" s="25">
        <v>0</v>
      </c>
      <c r="AG66"/>
      <c r="AH66"/>
      <c r="AI66"/>
      <c r="AJ66"/>
    </row>
    <row r="67" spans="2:36" ht="15">
      <c r="B67" s="24">
        <v>61</v>
      </c>
      <c r="C67" s="25">
        <v>0</v>
      </c>
      <c r="D67" s="25">
        <v>0</v>
      </c>
      <c r="J67" s="24">
        <v>61</v>
      </c>
      <c r="K67" s="25">
        <v>0</v>
      </c>
      <c r="L67" s="25">
        <v>0</v>
      </c>
      <c r="AG67"/>
      <c r="AH67"/>
      <c r="AI67"/>
      <c r="AJ67"/>
    </row>
    <row r="68" spans="2:36" ht="15">
      <c r="B68" s="24">
        <v>62</v>
      </c>
      <c r="C68" s="25">
        <v>0</v>
      </c>
      <c r="D68" s="25">
        <v>0</v>
      </c>
      <c r="J68" s="24">
        <v>62</v>
      </c>
      <c r="K68" s="25">
        <v>0</v>
      </c>
      <c r="L68" s="25">
        <v>0</v>
      </c>
      <c r="AG68"/>
      <c r="AH68"/>
      <c r="AI68"/>
      <c r="AJ68"/>
    </row>
    <row r="69" spans="2:36" ht="15">
      <c r="B69" s="24">
        <v>63</v>
      </c>
      <c r="C69" s="25">
        <v>0</v>
      </c>
      <c r="D69" s="25">
        <v>0</v>
      </c>
      <c r="J69" s="24">
        <v>63</v>
      </c>
      <c r="K69" s="25">
        <v>0</v>
      </c>
      <c r="L69" s="25">
        <v>0</v>
      </c>
      <c r="AG69"/>
      <c r="AH69"/>
      <c r="AI69"/>
      <c r="AJ69"/>
    </row>
    <row r="70" spans="2:36" ht="15">
      <c r="B70" s="24">
        <v>64</v>
      </c>
      <c r="C70" s="25">
        <v>0</v>
      </c>
      <c r="D70" s="25">
        <v>0</v>
      </c>
      <c r="J70" s="24">
        <v>64</v>
      </c>
      <c r="K70" s="25">
        <v>0</v>
      </c>
      <c r="L70" s="25">
        <v>0</v>
      </c>
      <c r="AG70"/>
      <c r="AH70"/>
      <c r="AI70"/>
      <c r="AJ70"/>
    </row>
    <row r="71" spans="2:36" ht="15">
      <c r="B71" s="24">
        <v>65</v>
      </c>
      <c r="C71" s="25">
        <v>0</v>
      </c>
      <c r="D71" s="25">
        <v>0</v>
      </c>
      <c r="J71" s="24">
        <v>65</v>
      </c>
      <c r="K71" s="25">
        <v>0</v>
      </c>
      <c r="L71" s="25">
        <v>0</v>
      </c>
      <c r="AG71"/>
      <c r="AH71"/>
      <c r="AI71"/>
      <c r="AJ71"/>
    </row>
    <row r="72" spans="2:36" ht="15">
      <c r="B72" s="24">
        <v>66</v>
      </c>
      <c r="C72" s="25">
        <v>0</v>
      </c>
      <c r="D72" s="25">
        <v>0</v>
      </c>
      <c r="J72" s="24">
        <v>66</v>
      </c>
      <c r="K72" s="25">
        <v>0</v>
      </c>
      <c r="L72" s="25">
        <v>0</v>
      </c>
      <c r="AG72"/>
      <c r="AH72"/>
      <c r="AI72"/>
      <c r="AJ72"/>
    </row>
    <row r="73" spans="2:36" ht="15">
      <c r="B73" s="24">
        <v>67</v>
      </c>
      <c r="C73" s="25">
        <v>0</v>
      </c>
      <c r="D73" s="25">
        <v>0</v>
      </c>
      <c r="J73" s="24">
        <v>67</v>
      </c>
      <c r="K73" s="25">
        <v>0</v>
      </c>
      <c r="L73" s="25">
        <v>0</v>
      </c>
      <c r="AF73"/>
      <c r="AG73"/>
      <c r="AH73"/>
      <c r="AI73"/>
      <c r="AJ73"/>
    </row>
    <row r="74" spans="2:36" ht="15">
      <c r="B74" s="24">
        <v>68</v>
      </c>
      <c r="C74" s="25">
        <v>0</v>
      </c>
      <c r="D74" s="25">
        <v>0</v>
      </c>
      <c r="J74" s="24">
        <v>68</v>
      </c>
      <c r="K74" s="25">
        <v>0</v>
      </c>
      <c r="L74" s="25">
        <v>0</v>
      </c>
      <c r="AF74"/>
      <c r="AG74"/>
      <c r="AH74"/>
      <c r="AI74"/>
      <c r="AJ74"/>
    </row>
    <row r="75" spans="2:36" ht="15">
      <c r="B75" s="24">
        <v>69</v>
      </c>
      <c r="C75" s="25">
        <v>0</v>
      </c>
      <c r="D75" s="25">
        <v>0</v>
      </c>
      <c r="J75" s="24">
        <v>69</v>
      </c>
      <c r="K75" s="25">
        <v>0</v>
      </c>
      <c r="L75" s="25">
        <v>0</v>
      </c>
      <c r="AF75"/>
      <c r="AG75"/>
      <c r="AH75"/>
      <c r="AI75"/>
      <c r="AJ75"/>
    </row>
    <row r="76" spans="2:36" ht="15">
      <c r="B76" s="24">
        <v>70</v>
      </c>
      <c r="C76" s="25">
        <v>0</v>
      </c>
      <c r="D76" s="25">
        <v>0</v>
      </c>
      <c r="J76" s="24">
        <v>70</v>
      </c>
      <c r="K76" s="25">
        <v>0</v>
      </c>
      <c r="L76" s="25">
        <v>0</v>
      </c>
      <c r="Z76"/>
      <c r="AA76"/>
      <c r="AB76"/>
      <c r="AC76"/>
      <c r="AD76"/>
      <c r="AE76"/>
      <c r="AF76"/>
      <c r="AG76"/>
      <c r="AH76"/>
      <c r="AI76"/>
      <c r="AJ76"/>
    </row>
    <row r="77" spans="2:36">
      <c r="B77" s="24">
        <v>71</v>
      </c>
      <c r="C77" s="25">
        <v>0</v>
      </c>
      <c r="D77" s="25">
        <v>0</v>
      </c>
      <c r="J77" s="24">
        <v>71</v>
      </c>
      <c r="K77" s="25">
        <v>0</v>
      </c>
      <c r="L77" s="25">
        <v>0</v>
      </c>
    </row>
    <row r="78" spans="2:36">
      <c r="B78" s="24">
        <v>72</v>
      </c>
      <c r="C78" s="25">
        <v>0</v>
      </c>
      <c r="D78" s="25">
        <v>0</v>
      </c>
      <c r="J78" s="24">
        <v>72</v>
      </c>
      <c r="K78" s="25">
        <v>0</v>
      </c>
      <c r="L78" s="25">
        <v>0</v>
      </c>
    </row>
    <row r="79" spans="2:36">
      <c r="B79" s="24">
        <v>73</v>
      </c>
      <c r="C79" s="25">
        <v>0</v>
      </c>
      <c r="D79" s="25">
        <v>0</v>
      </c>
      <c r="J79" s="24">
        <v>73</v>
      </c>
      <c r="K79" s="25">
        <v>0</v>
      </c>
      <c r="L79" s="25">
        <v>0</v>
      </c>
    </row>
    <row r="80" spans="2:36">
      <c r="B80" s="24">
        <v>74</v>
      </c>
      <c r="C80" s="25">
        <v>0</v>
      </c>
      <c r="D80" s="25">
        <v>0</v>
      </c>
      <c r="J80" s="24">
        <v>74</v>
      </c>
      <c r="K80" s="25">
        <v>0</v>
      </c>
      <c r="L80" s="25">
        <v>0</v>
      </c>
    </row>
    <row r="81" spans="2:12">
      <c r="B81" s="24">
        <v>75</v>
      </c>
      <c r="C81" s="25">
        <v>0</v>
      </c>
      <c r="D81" s="25">
        <v>0</v>
      </c>
      <c r="J81" s="24">
        <v>75</v>
      </c>
      <c r="K81" s="25">
        <v>0</v>
      </c>
      <c r="L81" s="25">
        <v>0</v>
      </c>
    </row>
    <row r="82" spans="2:12">
      <c r="B82" s="24">
        <v>76</v>
      </c>
      <c r="C82" s="25">
        <v>0</v>
      </c>
      <c r="D82" s="25">
        <v>0</v>
      </c>
      <c r="J82" s="24">
        <v>76</v>
      </c>
      <c r="K82" s="25">
        <v>0</v>
      </c>
      <c r="L82" s="25">
        <v>0</v>
      </c>
    </row>
    <row r="83" spans="2:12">
      <c r="B83" s="24">
        <v>77</v>
      </c>
      <c r="C83" s="25">
        <v>0</v>
      </c>
      <c r="D83" s="25">
        <v>0</v>
      </c>
      <c r="J83" s="24">
        <v>77</v>
      </c>
      <c r="K83" s="25">
        <v>0</v>
      </c>
      <c r="L83" s="25">
        <v>0</v>
      </c>
    </row>
    <row r="84" spans="2:12">
      <c r="B84" s="24">
        <v>78</v>
      </c>
      <c r="C84" s="25">
        <v>0</v>
      </c>
      <c r="D84" s="25">
        <v>0</v>
      </c>
      <c r="J84" s="24">
        <v>78</v>
      </c>
      <c r="K84" s="25">
        <v>0</v>
      </c>
      <c r="L84" s="25">
        <v>0</v>
      </c>
    </row>
    <row r="85" spans="2:12">
      <c r="B85" s="24">
        <v>79</v>
      </c>
      <c r="C85" s="25">
        <v>0</v>
      </c>
      <c r="D85" s="25">
        <v>0</v>
      </c>
      <c r="J85" s="24">
        <v>79</v>
      </c>
      <c r="K85" s="25">
        <v>0</v>
      </c>
      <c r="L85" s="25">
        <v>0</v>
      </c>
    </row>
    <row r="86" spans="2:12">
      <c r="B86" s="24">
        <v>80</v>
      </c>
      <c r="C86" s="25">
        <v>0</v>
      </c>
      <c r="D86" s="25">
        <v>0</v>
      </c>
      <c r="J86" s="24">
        <v>80</v>
      </c>
      <c r="K86" s="25">
        <v>0</v>
      </c>
      <c r="L86" s="25">
        <v>0</v>
      </c>
    </row>
    <row r="87" spans="2:12">
      <c r="B87" s="24">
        <v>81</v>
      </c>
      <c r="C87" s="25">
        <v>0</v>
      </c>
      <c r="D87" s="25">
        <v>0</v>
      </c>
      <c r="J87" s="24">
        <v>81</v>
      </c>
      <c r="K87" s="25">
        <v>0</v>
      </c>
      <c r="L87" s="25">
        <v>0</v>
      </c>
    </row>
    <row r="88" spans="2:12">
      <c r="B88" s="24">
        <v>82</v>
      </c>
      <c r="C88" s="25">
        <v>0</v>
      </c>
      <c r="D88" s="25">
        <v>0</v>
      </c>
      <c r="J88" s="24">
        <v>82</v>
      </c>
      <c r="K88" s="25">
        <v>0</v>
      </c>
      <c r="L88" s="25">
        <v>0</v>
      </c>
    </row>
    <row r="89" spans="2:12">
      <c r="B89" s="24">
        <v>83</v>
      </c>
      <c r="C89" s="25">
        <v>0</v>
      </c>
      <c r="D89" s="25">
        <v>0</v>
      </c>
      <c r="J89" s="24">
        <v>83</v>
      </c>
      <c r="K89" s="25">
        <v>0</v>
      </c>
      <c r="L89" s="25">
        <v>0</v>
      </c>
    </row>
    <row r="90" spans="2:12">
      <c r="B90" s="24">
        <v>84</v>
      </c>
      <c r="C90" s="25">
        <v>0</v>
      </c>
      <c r="D90" s="25">
        <v>0</v>
      </c>
      <c r="J90" s="24">
        <v>84</v>
      </c>
      <c r="K90" s="25">
        <v>0</v>
      </c>
      <c r="L90" s="25">
        <v>0</v>
      </c>
    </row>
    <row r="91" spans="2:12">
      <c r="B91" s="24">
        <v>85</v>
      </c>
      <c r="C91" s="25">
        <v>0</v>
      </c>
      <c r="D91" s="25">
        <v>0</v>
      </c>
      <c r="J91" s="24">
        <v>85</v>
      </c>
      <c r="K91" s="25">
        <v>0</v>
      </c>
      <c r="L91" s="25">
        <v>0</v>
      </c>
    </row>
    <row r="92" spans="2:12">
      <c r="B92" s="24">
        <v>86</v>
      </c>
      <c r="C92" s="25">
        <v>0</v>
      </c>
      <c r="D92" s="25">
        <v>0</v>
      </c>
      <c r="J92" s="24">
        <v>86</v>
      </c>
      <c r="K92" s="25">
        <v>0</v>
      </c>
      <c r="L92" s="25">
        <v>0</v>
      </c>
    </row>
    <row r="93" spans="2:12">
      <c r="B93" s="24">
        <v>87</v>
      </c>
      <c r="C93" s="25">
        <v>0</v>
      </c>
      <c r="D93" s="25">
        <v>0</v>
      </c>
      <c r="J93" s="24">
        <v>87</v>
      </c>
      <c r="K93" s="25">
        <v>0</v>
      </c>
      <c r="L93" s="25">
        <v>0</v>
      </c>
    </row>
    <row r="94" spans="2:12">
      <c r="B94" s="24">
        <v>88</v>
      </c>
      <c r="C94" s="25">
        <v>0</v>
      </c>
      <c r="D94" s="25">
        <v>0</v>
      </c>
      <c r="J94" s="24">
        <v>88</v>
      </c>
      <c r="K94" s="25">
        <v>0</v>
      </c>
      <c r="L94" s="25">
        <v>0</v>
      </c>
    </row>
    <row r="95" spans="2:12">
      <c r="B95" s="24">
        <v>89</v>
      </c>
      <c r="C95" s="25">
        <v>0</v>
      </c>
      <c r="D95" s="25">
        <v>0</v>
      </c>
      <c r="J95" s="24">
        <v>89</v>
      </c>
      <c r="K95" s="25">
        <v>0</v>
      </c>
      <c r="L95" s="25">
        <v>0</v>
      </c>
    </row>
    <row r="96" spans="2:12">
      <c r="B96" s="24">
        <v>90</v>
      </c>
      <c r="C96" s="25">
        <v>0</v>
      </c>
      <c r="D96" s="25">
        <v>0</v>
      </c>
      <c r="J96" s="24">
        <v>90</v>
      </c>
      <c r="K96" s="25">
        <v>0</v>
      </c>
      <c r="L96" s="25">
        <v>0</v>
      </c>
    </row>
    <row r="97" spans="2:12">
      <c r="B97" s="24">
        <v>91</v>
      </c>
      <c r="C97" s="25">
        <v>0</v>
      </c>
      <c r="D97" s="25">
        <v>0</v>
      </c>
      <c r="J97" s="24">
        <v>91</v>
      </c>
      <c r="K97" s="25">
        <v>0</v>
      </c>
      <c r="L97" s="25">
        <v>0</v>
      </c>
    </row>
    <row r="98" spans="2:12">
      <c r="B98" s="24">
        <v>92</v>
      </c>
      <c r="C98" s="25">
        <v>0</v>
      </c>
      <c r="D98" s="25">
        <v>0</v>
      </c>
      <c r="J98" s="24">
        <v>92</v>
      </c>
      <c r="K98" s="25">
        <v>0</v>
      </c>
      <c r="L98" s="25">
        <v>0</v>
      </c>
    </row>
    <row r="99" spans="2:12">
      <c r="B99" s="24">
        <v>93</v>
      </c>
      <c r="C99" s="25">
        <v>0</v>
      </c>
      <c r="D99" s="25">
        <v>0</v>
      </c>
      <c r="J99" s="24">
        <v>93</v>
      </c>
      <c r="K99" s="25">
        <v>0</v>
      </c>
      <c r="L99" s="25">
        <v>0</v>
      </c>
    </row>
    <row r="100" spans="2:12">
      <c r="B100" s="24">
        <v>94</v>
      </c>
      <c r="C100" s="25">
        <v>0</v>
      </c>
      <c r="D100" s="25">
        <v>0</v>
      </c>
      <c r="J100" s="24">
        <v>94</v>
      </c>
      <c r="K100" s="25">
        <v>0</v>
      </c>
      <c r="L100" s="25">
        <v>0</v>
      </c>
    </row>
    <row r="101" spans="2:12">
      <c r="B101" s="24">
        <v>95</v>
      </c>
      <c r="C101" s="25">
        <v>0</v>
      </c>
      <c r="D101" s="25">
        <v>0</v>
      </c>
      <c r="J101" s="24">
        <v>95</v>
      </c>
      <c r="K101" s="25">
        <v>0</v>
      </c>
      <c r="L101" s="25">
        <v>0</v>
      </c>
    </row>
    <row r="102" spans="2:12">
      <c r="B102" s="24">
        <v>96</v>
      </c>
      <c r="C102" s="25">
        <v>0</v>
      </c>
      <c r="D102" s="25">
        <v>0</v>
      </c>
      <c r="J102" s="24">
        <v>96</v>
      </c>
      <c r="K102" s="25">
        <v>0</v>
      </c>
      <c r="L102" s="25">
        <v>0</v>
      </c>
    </row>
    <row r="103" spans="2:12">
      <c r="B103" s="24">
        <v>97</v>
      </c>
      <c r="C103" s="25">
        <v>0</v>
      </c>
      <c r="D103" s="25">
        <v>0</v>
      </c>
      <c r="J103" s="24">
        <v>97</v>
      </c>
      <c r="K103" s="25">
        <v>0</v>
      </c>
      <c r="L103" s="25">
        <v>0</v>
      </c>
    </row>
    <row r="104" spans="2:12">
      <c r="B104" s="24">
        <v>98</v>
      </c>
      <c r="C104" s="25">
        <v>0</v>
      </c>
      <c r="D104" s="25">
        <v>0</v>
      </c>
      <c r="J104" s="24">
        <v>98</v>
      </c>
      <c r="K104" s="25">
        <v>0</v>
      </c>
      <c r="L104" s="25">
        <v>0</v>
      </c>
    </row>
    <row r="105" spans="2:12">
      <c r="B105" s="24">
        <v>99</v>
      </c>
      <c r="C105" s="25">
        <v>0</v>
      </c>
      <c r="D105" s="25">
        <v>0</v>
      </c>
      <c r="J105" s="24">
        <v>99</v>
      </c>
      <c r="K105" s="25">
        <v>0</v>
      </c>
      <c r="L105" s="25">
        <v>0</v>
      </c>
    </row>
    <row r="106" spans="2:12">
      <c r="B106" s="24">
        <v>100</v>
      </c>
      <c r="C106" s="25">
        <v>0</v>
      </c>
      <c r="D106" s="25">
        <v>0</v>
      </c>
      <c r="J106" s="24">
        <v>100</v>
      </c>
      <c r="K106" s="25">
        <v>0</v>
      </c>
      <c r="L106" s="25">
        <v>0</v>
      </c>
    </row>
  </sheetData>
  <dataValidations count="1">
    <dataValidation type="decimal" showInputMessage="1" showErrorMessage="1" sqref="C6:D106 K6:L106">
      <formula1>0</formula1>
      <formula2>1</formula2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 enableFormatConditionsCalculation="0"/>
  <dimension ref="A1:BC110"/>
  <sheetViews>
    <sheetView topLeftCell="AG1" workbookViewId="0">
      <selection activeCell="AR52" sqref="AR52"/>
    </sheetView>
  </sheetViews>
  <sheetFormatPr defaultColWidth="9.140625" defaultRowHeight="15"/>
  <cols>
    <col min="1" max="1" width="9.140625" style="2"/>
    <col min="2" max="2" width="11" style="2" customWidth="1"/>
    <col min="3" max="3" width="10.85546875" style="2" bestFit="1" customWidth="1"/>
    <col min="4" max="8" width="9.140625" style="2"/>
    <col min="9" max="9" width="11.42578125" style="2" bestFit="1" customWidth="1"/>
    <col min="10" max="18" width="9.140625" style="2"/>
    <col min="19" max="19" width="2.85546875" style="169" customWidth="1"/>
    <col min="21" max="21" width="12.42578125" style="2" customWidth="1"/>
    <col min="22" max="22" width="9.140625" style="2"/>
    <col min="23" max="23" width="11.42578125" style="2" bestFit="1" customWidth="1"/>
    <col min="24" max="37" width="9.140625" style="2"/>
    <col min="38" max="38" width="2.85546875" style="169" customWidth="1"/>
    <col min="39" max="39" width="9" style="2" customWidth="1"/>
    <col min="40" max="40" width="14" style="2" customWidth="1"/>
    <col min="41" max="41" width="25.42578125" style="2" customWidth="1"/>
    <col min="42" max="42" width="13" style="2" customWidth="1"/>
    <col min="43" max="43" width="12.28515625" style="2" customWidth="1"/>
    <col min="44" max="45" width="9.140625" style="2"/>
    <col min="46" max="46" width="9.42578125" style="2" customWidth="1"/>
    <col min="47" max="47" width="10.85546875" style="2" bestFit="1" customWidth="1"/>
    <col min="48" max="16384" width="9.140625" style="2"/>
  </cols>
  <sheetData>
    <row r="1" spans="1:55" s="14" customFormat="1" ht="20.25">
      <c r="A1" s="13" t="s">
        <v>276</v>
      </c>
      <c r="B1" s="13"/>
      <c r="C1" s="13"/>
      <c r="D1" s="13"/>
      <c r="E1" s="13"/>
      <c r="F1" s="13"/>
      <c r="G1" s="13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68"/>
      <c r="T1" s="13" t="s">
        <v>309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I1" s="33"/>
      <c r="AJ1" s="13"/>
      <c r="AL1" s="168"/>
      <c r="AM1" s="13" t="s">
        <v>311</v>
      </c>
    </row>
    <row r="3" spans="1:55" ht="12.75">
      <c r="A3" s="12" t="s">
        <v>308</v>
      </c>
      <c r="T3" s="12" t="s">
        <v>310</v>
      </c>
      <c r="AM3" s="12" t="s">
        <v>331</v>
      </c>
    </row>
    <row r="4" spans="1:55">
      <c r="I4" s="12" t="s">
        <v>22</v>
      </c>
      <c r="AB4" s="12" t="s">
        <v>22</v>
      </c>
    </row>
    <row r="5" spans="1:55" ht="12.75">
      <c r="A5" s="2" t="s">
        <v>13</v>
      </c>
      <c r="B5" s="2" t="s">
        <v>22</v>
      </c>
      <c r="C5" s="2" t="s">
        <v>98</v>
      </c>
      <c r="D5" s="2" t="s">
        <v>108</v>
      </c>
      <c r="E5" s="2" t="s">
        <v>83</v>
      </c>
      <c r="F5" s="2" t="s">
        <v>84</v>
      </c>
      <c r="G5" s="2" t="s">
        <v>85</v>
      </c>
      <c r="H5" s="2" t="s">
        <v>86</v>
      </c>
      <c r="I5" s="2" t="s">
        <v>87</v>
      </c>
      <c r="J5" s="2" t="s">
        <v>88</v>
      </c>
      <c r="K5" s="2" t="s">
        <v>89</v>
      </c>
      <c r="L5" s="2" t="s">
        <v>90</v>
      </c>
      <c r="M5" s="2" t="s">
        <v>91</v>
      </c>
      <c r="N5" s="2" t="s">
        <v>92</v>
      </c>
      <c r="O5" s="2" t="s">
        <v>93</v>
      </c>
      <c r="P5" s="2" t="s">
        <v>94</v>
      </c>
      <c r="Q5" s="2" t="s">
        <v>95</v>
      </c>
      <c r="T5" s="2" t="s">
        <v>13</v>
      </c>
      <c r="U5" s="2" t="s">
        <v>22</v>
      </c>
      <c r="V5" s="2" t="s">
        <v>98</v>
      </c>
      <c r="W5" s="2" t="s">
        <v>108</v>
      </c>
      <c r="X5" s="2" t="s">
        <v>83</v>
      </c>
      <c r="Y5" s="2" t="s">
        <v>84</v>
      </c>
      <c r="Z5" s="2" t="s">
        <v>85</v>
      </c>
      <c r="AA5" s="2" t="s">
        <v>86</v>
      </c>
      <c r="AB5" s="2" t="s">
        <v>87</v>
      </c>
      <c r="AC5" s="2" t="s">
        <v>88</v>
      </c>
      <c r="AD5" s="2" t="s">
        <v>89</v>
      </c>
      <c r="AE5" s="2" t="s">
        <v>90</v>
      </c>
      <c r="AF5" s="2" t="s">
        <v>91</v>
      </c>
      <c r="AG5" s="2" t="s">
        <v>92</v>
      </c>
      <c r="AH5" s="2" t="s">
        <v>93</v>
      </c>
      <c r="AI5" s="2" t="s">
        <v>94</v>
      </c>
      <c r="AJ5" s="2" t="s">
        <v>95</v>
      </c>
      <c r="AM5" s="2" t="s">
        <v>13</v>
      </c>
      <c r="AN5" s="2" t="s">
        <v>22</v>
      </c>
      <c r="AO5" s="2" t="s">
        <v>98</v>
      </c>
      <c r="AP5" s="2" t="s">
        <v>108</v>
      </c>
      <c r="AQ5" s="2" t="s">
        <v>83</v>
      </c>
      <c r="AR5" s="2" t="s">
        <v>84</v>
      </c>
      <c r="AS5" s="2" t="s">
        <v>85</v>
      </c>
      <c r="AT5" s="2" t="s">
        <v>86</v>
      </c>
      <c r="AU5" s="2" t="s">
        <v>87</v>
      </c>
      <c r="AV5" s="2" t="s">
        <v>88</v>
      </c>
      <c r="AW5" s="2" t="s">
        <v>89</v>
      </c>
      <c r="AX5" s="2" t="s">
        <v>90</v>
      </c>
      <c r="AY5" s="2" t="s">
        <v>91</v>
      </c>
      <c r="AZ5" s="2" t="s">
        <v>92</v>
      </c>
      <c r="BA5" s="2" t="s">
        <v>93</v>
      </c>
      <c r="BB5" s="2" t="s">
        <v>94</v>
      </c>
      <c r="BC5" s="2" t="s">
        <v>95</v>
      </c>
    </row>
    <row r="6" spans="1:55" ht="12.75">
      <c r="B6" s="2" t="str">
        <f>Simulation!B12</f>
        <v>LungCancer</v>
      </c>
      <c r="C6" s="8">
        <v>0.2</v>
      </c>
      <c r="D6" s="8">
        <v>0.2</v>
      </c>
      <c r="E6" s="8">
        <v>0.3</v>
      </c>
      <c r="F6" s="8">
        <v>0.4</v>
      </c>
      <c r="G6" s="8">
        <v>0.5</v>
      </c>
      <c r="H6" s="8">
        <v>0.7</v>
      </c>
      <c r="I6" s="8">
        <v>0.9</v>
      </c>
      <c r="J6" s="8">
        <v>0.9</v>
      </c>
      <c r="K6" s="8">
        <v>0.9</v>
      </c>
      <c r="L6" s="8">
        <v>0.9</v>
      </c>
      <c r="M6" s="8">
        <v>0.9</v>
      </c>
      <c r="N6" s="8">
        <v>0.9</v>
      </c>
      <c r="O6" s="8">
        <v>0.9</v>
      </c>
      <c r="P6" s="8">
        <v>0.9</v>
      </c>
      <c r="Q6" s="8">
        <v>0.9</v>
      </c>
      <c r="R6" s="19"/>
      <c r="T6" s="2"/>
      <c r="U6" s="2" t="str">
        <f>B6</f>
        <v>LungCancer</v>
      </c>
      <c r="V6" s="8">
        <v>1.2</v>
      </c>
      <c r="W6" s="8">
        <v>1.2</v>
      </c>
      <c r="X6" s="8">
        <v>1.2</v>
      </c>
      <c r="Y6" s="8">
        <v>1.2</v>
      </c>
      <c r="Z6" s="8">
        <v>1.2</v>
      </c>
      <c r="AA6" s="8">
        <v>1.2</v>
      </c>
      <c r="AB6" s="8">
        <v>1.2</v>
      </c>
      <c r="AC6" s="8">
        <v>1.2</v>
      </c>
      <c r="AD6" s="8">
        <v>1.2</v>
      </c>
      <c r="AE6" s="8">
        <v>1.2</v>
      </c>
      <c r="AF6" s="8">
        <v>1.2</v>
      </c>
      <c r="AG6" s="8">
        <v>1.2</v>
      </c>
      <c r="AH6" s="8">
        <v>1.2</v>
      </c>
      <c r="AI6" s="8">
        <v>1.2</v>
      </c>
      <c r="AJ6" s="8">
        <v>1.2</v>
      </c>
      <c r="AN6" s="2" t="str">
        <f>U6</f>
        <v>LungCancer</v>
      </c>
      <c r="AO6" s="8">
        <v>0.2</v>
      </c>
      <c r="AP6" s="8">
        <v>0.2</v>
      </c>
      <c r="AQ6" s="8">
        <v>0.3</v>
      </c>
      <c r="AR6" s="8">
        <v>0.4</v>
      </c>
      <c r="AS6" s="8">
        <v>0.5</v>
      </c>
      <c r="AT6" s="8">
        <v>0.7</v>
      </c>
      <c r="AU6" s="8">
        <v>0.9</v>
      </c>
      <c r="AV6" s="8">
        <v>0.9</v>
      </c>
      <c r="AW6" s="8">
        <v>0.9</v>
      </c>
      <c r="AX6" s="8">
        <v>0.9</v>
      </c>
      <c r="AY6" s="8">
        <v>0.9</v>
      </c>
      <c r="AZ6" s="8">
        <v>0.9</v>
      </c>
      <c r="BA6" s="8">
        <v>0.9</v>
      </c>
      <c r="BB6" s="8">
        <v>0.9</v>
      </c>
      <c r="BC6" s="8">
        <v>0.9</v>
      </c>
    </row>
    <row r="7" spans="1:55" ht="12.75">
      <c r="B7" s="2" t="str">
        <f>Simulation!B13</f>
        <v>COPD</v>
      </c>
      <c r="C7" s="8">
        <v>0.2</v>
      </c>
      <c r="D7" s="8">
        <v>0.2</v>
      </c>
      <c r="E7" s="8">
        <v>0.3</v>
      </c>
      <c r="F7" s="8">
        <v>0.4</v>
      </c>
      <c r="G7" s="8">
        <v>0.5</v>
      </c>
      <c r="H7" s="8">
        <v>0.7</v>
      </c>
      <c r="I7" s="8">
        <v>0.9</v>
      </c>
      <c r="J7" s="8">
        <v>0.9</v>
      </c>
      <c r="K7" s="8">
        <v>0.9</v>
      </c>
      <c r="L7" s="8">
        <v>0.9</v>
      </c>
      <c r="M7" s="8">
        <v>0.9</v>
      </c>
      <c r="N7" s="8">
        <v>0.9</v>
      </c>
      <c r="O7" s="8">
        <v>0.9</v>
      </c>
      <c r="P7" s="8">
        <v>0.9</v>
      </c>
      <c r="Q7" s="8">
        <v>0.9</v>
      </c>
      <c r="R7" s="19"/>
      <c r="T7" s="2"/>
      <c r="U7" s="2" t="str">
        <f>B7</f>
        <v>COPD</v>
      </c>
      <c r="V7" s="8">
        <v>1.2</v>
      </c>
      <c r="W7" s="8">
        <v>1.2</v>
      </c>
      <c r="X7" s="8">
        <v>1.2</v>
      </c>
      <c r="Y7" s="8">
        <v>1.2</v>
      </c>
      <c r="Z7" s="8">
        <v>1.2</v>
      </c>
      <c r="AA7" s="8">
        <v>1.2</v>
      </c>
      <c r="AB7" s="8">
        <v>1.2</v>
      </c>
      <c r="AC7" s="8">
        <v>1.2</v>
      </c>
      <c r="AD7" s="8">
        <v>1.2</v>
      </c>
      <c r="AE7" s="8">
        <v>1.2</v>
      </c>
      <c r="AF7" s="8">
        <v>1.2</v>
      </c>
      <c r="AG7" s="8">
        <v>1.2</v>
      </c>
      <c r="AH7" s="8">
        <v>1.2</v>
      </c>
      <c r="AI7" s="8">
        <v>1.2</v>
      </c>
      <c r="AJ7" s="8">
        <v>1.2</v>
      </c>
      <c r="AN7" s="2" t="str">
        <f>U7</f>
        <v>COPD</v>
      </c>
      <c r="AO7" s="8">
        <v>0.2</v>
      </c>
      <c r="AP7" s="8">
        <v>0.2</v>
      </c>
      <c r="AQ7" s="8">
        <v>0.3</v>
      </c>
      <c r="AR7" s="8">
        <v>0.4</v>
      </c>
      <c r="AS7" s="8">
        <v>0.5</v>
      </c>
      <c r="AT7" s="8">
        <v>0.7</v>
      </c>
      <c r="AU7" s="8">
        <v>0.9</v>
      </c>
      <c r="AV7" s="8">
        <v>0.9</v>
      </c>
      <c r="AW7" s="8">
        <v>0.9</v>
      </c>
      <c r="AX7" s="8">
        <v>0.9</v>
      </c>
      <c r="AY7" s="8">
        <v>0.9</v>
      </c>
      <c r="AZ7" s="8">
        <v>0.9</v>
      </c>
      <c r="BA7" s="8">
        <v>0.9</v>
      </c>
      <c r="BB7" s="8">
        <v>0.9</v>
      </c>
      <c r="BC7" s="8">
        <v>0.9</v>
      </c>
    </row>
    <row r="8" spans="1:55" ht="12.75">
      <c r="B8" s="2" t="str">
        <f>Simulation!B14</f>
        <v>MI</v>
      </c>
      <c r="C8" s="8">
        <v>0.2</v>
      </c>
      <c r="D8" s="8">
        <v>0.2</v>
      </c>
      <c r="E8" s="8">
        <v>0.3</v>
      </c>
      <c r="F8" s="8">
        <v>0.4</v>
      </c>
      <c r="G8" s="8">
        <v>0.5</v>
      </c>
      <c r="H8" s="8">
        <v>0.7</v>
      </c>
      <c r="I8" s="8">
        <v>0.9</v>
      </c>
      <c r="J8" s="8">
        <v>0.9</v>
      </c>
      <c r="K8" s="8">
        <v>0.9</v>
      </c>
      <c r="L8" s="8">
        <v>0.9</v>
      </c>
      <c r="M8" s="8">
        <v>0.9</v>
      </c>
      <c r="N8" s="8">
        <v>0.9</v>
      </c>
      <c r="O8" s="8">
        <v>0.9</v>
      </c>
      <c r="P8" s="8">
        <v>0.9</v>
      </c>
      <c r="Q8" s="8">
        <v>0.9</v>
      </c>
      <c r="R8" s="19"/>
      <c r="T8" s="2"/>
      <c r="U8" s="2" t="str">
        <f>B8</f>
        <v>MI</v>
      </c>
      <c r="V8" s="8">
        <v>1.2</v>
      </c>
      <c r="W8" s="8">
        <v>1.2</v>
      </c>
      <c r="X8" s="8">
        <v>1.2</v>
      </c>
      <c r="Y8" s="8">
        <v>1.2</v>
      </c>
      <c r="Z8" s="8">
        <v>1.2</v>
      </c>
      <c r="AA8" s="8">
        <v>1.2</v>
      </c>
      <c r="AB8" s="8">
        <v>1.2</v>
      </c>
      <c r="AC8" s="8">
        <v>1.2</v>
      </c>
      <c r="AD8" s="8">
        <v>1.2</v>
      </c>
      <c r="AE8" s="8">
        <v>1.2</v>
      </c>
      <c r="AF8" s="8">
        <v>1.2</v>
      </c>
      <c r="AG8" s="8">
        <v>1.2</v>
      </c>
      <c r="AH8" s="8">
        <v>1.2</v>
      </c>
      <c r="AI8" s="8">
        <v>1.2</v>
      </c>
      <c r="AJ8" s="8">
        <v>1.2</v>
      </c>
      <c r="AN8" s="2" t="str">
        <f>U8</f>
        <v>MI</v>
      </c>
      <c r="AO8" s="8">
        <v>0.2</v>
      </c>
      <c r="AP8" s="8">
        <v>0.2</v>
      </c>
      <c r="AQ8" s="8">
        <v>0.3</v>
      </c>
      <c r="AR8" s="8">
        <v>0.4</v>
      </c>
      <c r="AS8" s="8">
        <v>0.5</v>
      </c>
      <c r="AT8" s="8">
        <v>0.7</v>
      </c>
      <c r="AU8" s="8">
        <v>0.9</v>
      </c>
      <c r="AV8" s="8">
        <v>0.9</v>
      </c>
      <c r="AW8" s="8">
        <v>0.9</v>
      </c>
      <c r="AX8" s="8">
        <v>0.9</v>
      </c>
      <c r="AY8" s="8">
        <v>0.9</v>
      </c>
      <c r="AZ8" s="8">
        <v>0.9</v>
      </c>
      <c r="BA8" s="8">
        <v>0.9</v>
      </c>
      <c r="BB8" s="8">
        <v>0.9</v>
      </c>
      <c r="BC8" s="8">
        <v>0.9</v>
      </c>
    </row>
    <row r="9" spans="1:55" ht="12.75">
      <c r="B9" s="2" t="str">
        <f>Simulation!B15</f>
        <v>Stroke</v>
      </c>
      <c r="C9" s="8">
        <v>0.2</v>
      </c>
      <c r="D9" s="8">
        <v>0.2</v>
      </c>
      <c r="E9" s="8">
        <v>0.3</v>
      </c>
      <c r="F9" s="8">
        <v>0.4</v>
      </c>
      <c r="G9" s="8">
        <v>0.5</v>
      </c>
      <c r="H9" s="8">
        <v>0.7</v>
      </c>
      <c r="I9" s="8">
        <v>0.9</v>
      </c>
      <c r="J9" s="8">
        <v>0.9</v>
      </c>
      <c r="K9" s="8">
        <v>0.9</v>
      </c>
      <c r="L9" s="8">
        <v>0.9</v>
      </c>
      <c r="M9" s="8">
        <v>0.9</v>
      </c>
      <c r="N9" s="8">
        <v>0.9</v>
      </c>
      <c r="O9" s="8">
        <v>0.9</v>
      </c>
      <c r="P9" s="8">
        <v>0.9</v>
      </c>
      <c r="Q9" s="8">
        <v>0.9</v>
      </c>
      <c r="R9" s="19"/>
      <c r="T9" s="2"/>
      <c r="U9" s="2" t="str">
        <f>B9</f>
        <v>Stroke</v>
      </c>
      <c r="V9" s="8">
        <v>1.2</v>
      </c>
      <c r="W9" s="8">
        <v>1.2</v>
      </c>
      <c r="X9" s="8">
        <v>1.2</v>
      </c>
      <c r="Y9" s="8">
        <v>1.2</v>
      </c>
      <c r="Z9" s="8">
        <v>1.2</v>
      </c>
      <c r="AA9" s="8">
        <v>1.2</v>
      </c>
      <c r="AB9" s="8">
        <v>1.2</v>
      </c>
      <c r="AC9" s="8">
        <v>1.2</v>
      </c>
      <c r="AD9" s="8">
        <v>1.2</v>
      </c>
      <c r="AE9" s="8">
        <v>1.2</v>
      </c>
      <c r="AF9" s="8">
        <v>1.2</v>
      </c>
      <c r="AG9" s="8">
        <v>1.2</v>
      </c>
      <c r="AH9" s="8">
        <v>1.2</v>
      </c>
      <c r="AI9" s="8">
        <v>1.2</v>
      </c>
      <c r="AJ9" s="8">
        <v>1.2</v>
      </c>
      <c r="AN9" s="2" t="str">
        <f>U9</f>
        <v>Stroke</v>
      </c>
      <c r="AO9" s="8">
        <v>0.2</v>
      </c>
      <c r="AP9" s="8">
        <v>0.2</v>
      </c>
      <c r="AQ9" s="8">
        <v>0.3</v>
      </c>
      <c r="AR9" s="8">
        <v>0.4</v>
      </c>
      <c r="AS9" s="8">
        <v>0.5</v>
      </c>
      <c r="AT9" s="8">
        <v>0.7</v>
      </c>
      <c r="AU9" s="8">
        <v>0.9</v>
      </c>
      <c r="AV9" s="8">
        <v>0.9</v>
      </c>
      <c r="AW9" s="8">
        <v>0.9</v>
      </c>
      <c r="AX9" s="8">
        <v>0.9</v>
      </c>
      <c r="AY9" s="8">
        <v>0.9</v>
      </c>
      <c r="AZ9" s="8">
        <v>0.9</v>
      </c>
      <c r="BA9" s="8">
        <v>0.9</v>
      </c>
      <c r="BB9" s="8">
        <v>0.9</v>
      </c>
      <c r="BC9" s="8">
        <v>0.9</v>
      </c>
    </row>
    <row r="10" spans="1:55" ht="12.75">
      <c r="B10" s="2" t="str">
        <f>Simulation!B16</f>
        <v>OthEvent</v>
      </c>
      <c r="C10" s="8">
        <v>0.2</v>
      </c>
      <c r="D10" s="8">
        <v>0.2</v>
      </c>
      <c r="E10" s="8">
        <v>0.3</v>
      </c>
      <c r="F10" s="8">
        <v>0.4</v>
      </c>
      <c r="G10" s="8">
        <v>0.5</v>
      </c>
      <c r="H10" s="8">
        <v>0.7</v>
      </c>
      <c r="I10" s="8">
        <v>0.9</v>
      </c>
      <c r="J10" s="8">
        <v>0.9</v>
      </c>
      <c r="K10" s="8">
        <v>0.9</v>
      </c>
      <c r="L10" s="8">
        <v>0.9</v>
      </c>
      <c r="M10" s="8">
        <v>0.9</v>
      </c>
      <c r="N10" s="8">
        <v>0.9</v>
      </c>
      <c r="O10" s="8">
        <v>0.9</v>
      </c>
      <c r="P10" s="8">
        <v>0.9</v>
      </c>
      <c r="Q10" s="8">
        <v>0.9</v>
      </c>
      <c r="R10" s="19"/>
      <c r="T10" s="2"/>
      <c r="U10" s="2" t="str">
        <f>B10</f>
        <v>OthEvent</v>
      </c>
      <c r="V10" s="8">
        <v>1.2</v>
      </c>
      <c r="W10" s="8">
        <v>1.2</v>
      </c>
      <c r="X10" s="8">
        <v>1.2</v>
      </c>
      <c r="Y10" s="8">
        <v>1.2</v>
      </c>
      <c r="Z10" s="8">
        <v>1.2</v>
      </c>
      <c r="AA10" s="8">
        <v>1.2</v>
      </c>
      <c r="AB10" s="8">
        <v>1.2</v>
      </c>
      <c r="AC10" s="8">
        <v>1.2</v>
      </c>
      <c r="AD10" s="8">
        <v>1.2</v>
      </c>
      <c r="AE10" s="8">
        <v>1.2</v>
      </c>
      <c r="AF10" s="8">
        <v>1.2</v>
      </c>
      <c r="AG10" s="8">
        <v>1.2</v>
      </c>
      <c r="AH10" s="8">
        <v>1.2</v>
      </c>
      <c r="AI10" s="8">
        <v>1.2</v>
      </c>
      <c r="AJ10" s="8">
        <v>1.2</v>
      </c>
      <c r="AN10" s="2" t="str">
        <f>U10</f>
        <v>OthEvent</v>
      </c>
      <c r="AO10" s="8">
        <v>0.2</v>
      </c>
      <c r="AP10" s="8">
        <v>0.2</v>
      </c>
      <c r="AQ10" s="8">
        <v>0.3</v>
      </c>
      <c r="AR10" s="8">
        <v>0.4</v>
      </c>
      <c r="AS10" s="8">
        <v>0.5</v>
      </c>
      <c r="AT10" s="8">
        <v>0.7</v>
      </c>
      <c r="AU10" s="8">
        <v>0.9</v>
      </c>
      <c r="AV10" s="8">
        <v>0.9</v>
      </c>
      <c r="AW10" s="8">
        <v>0.9</v>
      </c>
      <c r="AX10" s="8">
        <v>0.9</v>
      </c>
      <c r="AY10" s="8">
        <v>0.9</v>
      </c>
      <c r="AZ10" s="8">
        <v>0.9</v>
      </c>
      <c r="BA10" s="8">
        <v>0.9</v>
      </c>
      <c r="BB10" s="8">
        <v>0.9</v>
      </c>
      <c r="BC10" s="8">
        <v>0.9</v>
      </c>
    </row>
    <row r="11" spans="1:55" ht="12.75">
      <c r="T11" s="2"/>
    </row>
    <row r="12" spans="1:55" ht="12.75">
      <c r="I12" s="12" t="s">
        <v>22</v>
      </c>
      <c r="T12" s="2"/>
      <c r="AB12" s="12" t="s">
        <v>22</v>
      </c>
    </row>
    <row r="13" spans="1:55" ht="12.75">
      <c r="A13" s="2" t="s">
        <v>12</v>
      </c>
      <c r="B13" s="2" t="s">
        <v>22</v>
      </c>
      <c r="C13" s="2" t="s">
        <v>98</v>
      </c>
      <c r="D13" s="2" t="s">
        <v>108</v>
      </c>
      <c r="E13" s="2" t="s">
        <v>83</v>
      </c>
      <c r="F13" s="2" t="s">
        <v>84</v>
      </c>
      <c r="G13" s="2" t="s">
        <v>85</v>
      </c>
      <c r="H13" s="2" t="s">
        <v>86</v>
      </c>
      <c r="I13" s="2" t="s">
        <v>87</v>
      </c>
      <c r="J13" s="2" t="s">
        <v>88</v>
      </c>
      <c r="K13" s="2" t="s">
        <v>89</v>
      </c>
      <c r="L13" s="2" t="s">
        <v>90</v>
      </c>
      <c r="M13" s="2" t="s">
        <v>91</v>
      </c>
      <c r="N13" s="2" t="s">
        <v>92</v>
      </c>
      <c r="O13" s="2" t="s">
        <v>93</v>
      </c>
      <c r="P13" s="2" t="s">
        <v>94</v>
      </c>
      <c r="Q13" s="2" t="s">
        <v>95</v>
      </c>
      <c r="T13" s="2" t="s">
        <v>12</v>
      </c>
      <c r="U13" s="2" t="s">
        <v>22</v>
      </c>
      <c r="V13" s="2" t="s">
        <v>98</v>
      </c>
      <c r="W13" s="2" t="s">
        <v>108</v>
      </c>
      <c r="X13" s="2" t="s">
        <v>83</v>
      </c>
      <c r="Y13" s="2" t="s">
        <v>84</v>
      </c>
      <c r="Z13" s="2" t="s">
        <v>85</v>
      </c>
      <c r="AA13" s="2" t="s">
        <v>86</v>
      </c>
      <c r="AB13" s="2" t="s">
        <v>87</v>
      </c>
      <c r="AC13" s="2" t="s">
        <v>88</v>
      </c>
      <c r="AD13" s="2" t="s">
        <v>89</v>
      </c>
      <c r="AE13" s="2" t="s">
        <v>90</v>
      </c>
      <c r="AF13" s="2" t="s">
        <v>91</v>
      </c>
      <c r="AG13" s="2" t="s">
        <v>92</v>
      </c>
      <c r="AH13" s="2" t="s">
        <v>93</v>
      </c>
      <c r="AI13" s="2" t="s">
        <v>94</v>
      </c>
      <c r="AJ13" s="2" t="s">
        <v>95</v>
      </c>
      <c r="AM13" s="2" t="s">
        <v>12</v>
      </c>
      <c r="AN13" s="2" t="s">
        <v>22</v>
      </c>
      <c r="AO13" s="2" t="s">
        <v>98</v>
      </c>
      <c r="AP13" s="2" t="s">
        <v>108</v>
      </c>
      <c r="AQ13" s="2" t="s">
        <v>83</v>
      </c>
      <c r="AR13" s="2" t="s">
        <v>84</v>
      </c>
      <c r="AS13" s="2" t="s">
        <v>85</v>
      </c>
      <c r="AT13" s="2" t="s">
        <v>86</v>
      </c>
      <c r="AU13" s="2" t="s">
        <v>87</v>
      </c>
      <c r="AV13" s="2" t="s">
        <v>88</v>
      </c>
      <c r="AW13" s="2" t="s">
        <v>89</v>
      </c>
      <c r="AX13" s="2" t="s">
        <v>90</v>
      </c>
      <c r="AY13" s="2" t="s">
        <v>91</v>
      </c>
      <c r="AZ13" s="2" t="s">
        <v>92</v>
      </c>
      <c r="BA13" s="2" t="s">
        <v>93</v>
      </c>
      <c r="BB13" s="2" t="s">
        <v>94</v>
      </c>
      <c r="BC13" s="2" t="s">
        <v>95</v>
      </c>
    </row>
    <row r="14" spans="1:55" ht="12.75">
      <c r="B14" s="2" t="str">
        <f>B6</f>
        <v>LungCancer</v>
      </c>
      <c r="C14" s="8">
        <v>0.2</v>
      </c>
      <c r="D14" s="8">
        <v>0.2</v>
      </c>
      <c r="E14" s="8">
        <v>0.3</v>
      </c>
      <c r="F14" s="8">
        <v>0.4</v>
      </c>
      <c r="G14" s="8">
        <v>0.5</v>
      </c>
      <c r="H14" s="8">
        <v>0.7</v>
      </c>
      <c r="I14" s="8">
        <v>0.9</v>
      </c>
      <c r="J14" s="8">
        <v>0.9</v>
      </c>
      <c r="K14" s="8">
        <v>0.9</v>
      </c>
      <c r="L14" s="8">
        <v>0.9</v>
      </c>
      <c r="M14" s="8">
        <v>0.9</v>
      </c>
      <c r="N14" s="8">
        <v>0.9</v>
      </c>
      <c r="O14" s="8">
        <v>0.9</v>
      </c>
      <c r="P14" s="8">
        <v>0.9</v>
      </c>
      <c r="Q14" s="8">
        <v>0.9</v>
      </c>
      <c r="R14" s="19"/>
      <c r="T14" s="2"/>
      <c r="U14" s="2" t="str">
        <f>U6</f>
        <v>LungCancer</v>
      </c>
      <c r="V14" s="8">
        <v>1.2</v>
      </c>
      <c r="W14" s="8">
        <v>1.2</v>
      </c>
      <c r="X14" s="8">
        <v>1.2</v>
      </c>
      <c r="Y14" s="8">
        <v>1.2</v>
      </c>
      <c r="Z14" s="8">
        <v>1.2</v>
      </c>
      <c r="AA14" s="8">
        <v>1.2</v>
      </c>
      <c r="AB14" s="8">
        <v>1.2</v>
      </c>
      <c r="AC14" s="8">
        <v>1.2</v>
      </c>
      <c r="AD14" s="8">
        <v>1.2</v>
      </c>
      <c r="AE14" s="8">
        <v>1.2</v>
      </c>
      <c r="AF14" s="8">
        <v>1.2</v>
      </c>
      <c r="AG14" s="8">
        <v>1.2</v>
      </c>
      <c r="AH14" s="8">
        <v>1.2</v>
      </c>
      <c r="AI14" s="8">
        <v>1.2</v>
      </c>
      <c r="AJ14" s="8">
        <v>1.2</v>
      </c>
      <c r="AN14" s="2" t="str">
        <f>AN6</f>
        <v>LungCancer</v>
      </c>
      <c r="AO14" s="8">
        <v>0.2</v>
      </c>
      <c r="AP14" s="8">
        <v>0.2</v>
      </c>
      <c r="AQ14" s="8">
        <v>0.3</v>
      </c>
      <c r="AR14" s="8">
        <v>0.4</v>
      </c>
      <c r="AS14" s="8">
        <v>0.5</v>
      </c>
      <c r="AT14" s="8">
        <v>0.7</v>
      </c>
      <c r="AU14" s="8">
        <v>0.9</v>
      </c>
      <c r="AV14" s="8">
        <v>0.9</v>
      </c>
      <c r="AW14" s="8">
        <v>0.9</v>
      </c>
      <c r="AX14" s="8">
        <v>0.9</v>
      </c>
      <c r="AY14" s="8">
        <v>0.9</v>
      </c>
      <c r="AZ14" s="8">
        <v>0.9</v>
      </c>
      <c r="BA14" s="8">
        <v>0.9</v>
      </c>
      <c r="BB14" s="8">
        <v>0.9</v>
      </c>
      <c r="BC14" s="8">
        <v>0.9</v>
      </c>
    </row>
    <row r="15" spans="1:55" ht="12.75">
      <c r="B15" s="2" t="str">
        <f>B7</f>
        <v>COPD</v>
      </c>
      <c r="C15" s="8">
        <v>0.2</v>
      </c>
      <c r="D15" s="8">
        <v>0.2</v>
      </c>
      <c r="E15" s="8">
        <v>0.3</v>
      </c>
      <c r="F15" s="8">
        <v>0.4</v>
      </c>
      <c r="G15" s="8">
        <v>0.5</v>
      </c>
      <c r="H15" s="8">
        <v>0.7</v>
      </c>
      <c r="I15" s="8">
        <v>0.9</v>
      </c>
      <c r="J15" s="8">
        <v>0.9</v>
      </c>
      <c r="K15" s="8">
        <v>0.9</v>
      </c>
      <c r="L15" s="8">
        <v>0.9</v>
      </c>
      <c r="M15" s="8">
        <v>0.9</v>
      </c>
      <c r="N15" s="8">
        <v>0.9</v>
      </c>
      <c r="O15" s="8">
        <v>0.9</v>
      </c>
      <c r="P15" s="8">
        <v>0.9</v>
      </c>
      <c r="Q15" s="8">
        <v>0.9</v>
      </c>
      <c r="R15" s="19"/>
      <c r="T15" s="2"/>
      <c r="U15" s="2" t="str">
        <f>U7</f>
        <v>COPD</v>
      </c>
      <c r="V15" s="8">
        <v>1.2</v>
      </c>
      <c r="W15" s="8">
        <v>1.2</v>
      </c>
      <c r="X15" s="8">
        <v>1.2</v>
      </c>
      <c r="Y15" s="8">
        <v>1.2</v>
      </c>
      <c r="Z15" s="8">
        <v>1.2</v>
      </c>
      <c r="AA15" s="8">
        <v>1.2</v>
      </c>
      <c r="AB15" s="8">
        <v>1.2</v>
      </c>
      <c r="AC15" s="8">
        <v>1.2</v>
      </c>
      <c r="AD15" s="8">
        <v>1.2</v>
      </c>
      <c r="AE15" s="8">
        <v>1.2</v>
      </c>
      <c r="AF15" s="8">
        <v>1.2</v>
      </c>
      <c r="AG15" s="8">
        <v>1.2</v>
      </c>
      <c r="AH15" s="8">
        <v>1.2</v>
      </c>
      <c r="AI15" s="8">
        <v>1.2</v>
      </c>
      <c r="AJ15" s="8">
        <v>1.2</v>
      </c>
      <c r="AN15" s="2" t="str">
        <f>AN7</f>
        <v>COPD</v>
      </c>
      <c r="AO15" s="8">
        <v>0.2</v>
      </c>
      <c r="AP15" s="8">
        <v>0.2</v>
      </c>
      <c r="AQ15" s="8">
        <v>0.3</v>
      </c>
      <c r="AR15" s="8">
        <v>0.4</v>
      </c>
      <c r="AS15" s="8">
        <v>0.5</v>
      </c>
      <c r="AT15" s="8">
        <v>0.7</v>
      </c>
      <c r="AU15" s="8">
        <v>0.9</v>
      </c>
      <c r="AV15" s="8">
        <v>0.9</v>
      </c>
      <c r="AW15" s="8">
        <v>0.9</v>
      </c>
      <c r="AX15" s="8">
        <v>0.9</v>
      </c>
      <c r="AY15" s="8">
        <v>0.9</v>
      </c>
      <c r="AZ15" s="8">
        <v>0.9</v>
      </c>
      <c r="BA15" s="8">
        <v>0.9</v>
      </c>
      <c r="BB15" s="8">
        <v>0.9</v>
      </c>
      <c r="BC15" s="8">
        <v>0.9</v>
      </c>
    </row>
    <row r="16" spans="1:55" ht="12.75">
      <c r="B16" s="2" t="str">
        <f>B8</f>
        <v>MI</v>
      </c>
      <c r="C16" s="8">
        <v>0.2</v>
      </c>
      <c r="D16" s="8">
        <v>0.2</v>
      </c>
      <c r="E16" s="8">
        <v>0.3</v>
      </c>
      <c r="F16" s="8">
        <v>0.4</v>
      </c>
      <c r="G16" s="8">
        <v>0.5</v>
      </c>
      <c r="H16" s="8">
        <v>0.7</v>
      </c>
      <c r="I16" s="8">
        <v>0.9</v>
      </c>
      <c r="J16" s="8">
        <v>0.9</v>
      </c>
      <c r="K16" s="8">
        <v>0.9</v>
      </c>
      <c r="L16" s="8">
        <v>0.9</v>
      </c>
      <c r="M16" s="8">
        <v>0.9</v>
      </c>
      <c r="N16" s="8">
        <v>0.9</v>
      </c>
      <c r="O16" s="8">
        <v>0.9</v>
      </c>
      <c r="P16" s="8">
        <v>0.9</v>
      </c>
      <c r="Q16" s="8">
        <v>0.9</v>
      </c>
      <c r="R16" s="19"/>
      <c r="T16" s="2"/>
      <c r="U16" s="2" t="str">
        <f>U8</f>
        <v>MI</v>
      </c>
      <c r="V16" s="8">
        <v>1.2</v>
      </c>
      <c r="W16" s="8">
        <v>1.2</v>
      </c>
      <c r="X16" s="8">
        <v>1.2</v>
      </c>
      <c r="Y16" s="8">
        <v>1.2</v>
      </c>
      <c r="Z16" s="8">
        <v>1.2</v>
      </c>
      <c r="AA16" s="8">
        <v>1.2</v>
      </c>
      <c r="AB16" s="8">
        <v>1.2</v>
      </c>
      <c r="AC16" s="8">
        <v>1.2</v>
      </c>
      <c r="AD16" s="8">
        <v>1.2</v>
      </c>
      <c r="AE16" s="8">
        <v>1.2</v>
      </c>
      <c r="AF16" s="8">
        <v>1.2</v>
      </c>
      <c r="AG16" s="8">
        <v>1.2</v>
      </c>
      <c r="AH16" s="8">
        <v>1.2</v>
      </c>
      <c r="AI16" s="8">
        <v>1.2</v>
      </c>
      <c r="AJ16" s="8">
        <v>1.2</v>
      </c>
      <c r="AN16" s="2" t="str">
        <f>AN8</f>
        <v>MI</v>
      </c>
      <c r="AO16" s="8">
        <v>0.2</v>
      </c>
      <c r="AP16" s="8">
        <v>0.2</v>
      </c>
      <c r="AQ16" s="8">
        <v>0.3</v>
      </c>
      <c r="AR16" s="8">
        <v>0.4</v>
      </c>
      <c r="AS16" s="8">
        <v>0.5</v>
      </c>
      <c r="AT16" s="8">
        <v>0.7</v>
      </c>
      <c r="AU16" s="8">
        <v>0.9</v>
      </c>
      <c r="AV16" s="8">
        <v>0.9</v>
      </c>
      <c r="AW16" s="8">
        <v>0.9</v>
      </c>
      <c r="AX16" s="8">
        <v>0.9</v>
      </c>
      <c r="AY16" s="8">
        <v>0.9</v>
      </c>
      <c r="AZ16" s="8">
        <v>0.9</v>
      </c>
      <c r="BA16" s="8">
        <v>0.9</v>
      </c>
      <c r="BB16" s="8">
        <v>0.9</v>
      </c>
      <c r="BC16" s="8">
        <v>0.9</v>
      </c>
    </row>
    <row r="17" spans="1:55" ht="12.75">
      <c r="B17" s="2" t="str">
        <f>B9</f>
        <v>Stroke</v>
      </c>
      <c r="C17" s="8">
        <v>0.2</v>
      </c>
      <c r="D17" s="8">
        <v>0.2</v>
      </c>
      <c r="E17" s="8">
        <v>0.3</v>
      </c>
      <c r="F17" s="8">
        <v>0.4</v>
      </c>
      <c r="G17" s="8">
        <v>0.5</v>
      </c>
      <c r="H17" s="8">
        <v>0.7</v>
      </c>
      <c r="I17" s="8">
        <v>0.9</v>
      </c>
      <c r="J17" s="8">
        <v>0.9</v>
      </c>
      <c r="K17" s="8">
        <v>0.9</v>
      </c>
      <c r="L17" s="8">
        <v>0.9</v>
      </c>
      <c r="M17" s="8">
        <v>0.9</v>
      </c>
      <c r="N17" s="8">
        <v>0.9</v>
      </c>
      <c r="O17" s="8">
        <v>0.9</v>
      </c>
      <c r="P17" s="8">
        <v>0.9</v>
      </c>
      <c r="Q17" s="8">
        <v>0.9</v>
      </c>
      <c r="R17" s="19"/>
      <c r="T17" s="2"/>
      <c r="U17" s="2" t="str">
        <f>U9</f>
        <v>Stroke</v>
      </c>
      <c r="V17" s="8">
        <v>1.2</v>
      </c>
      <c r="W17" s="8">
        <v>1.2</v>
      </c>
      <c r="X17" s="8">
        <v>1.2</v>
      </c>
      <c r="Y17" s="8">
        <v>1.2</v>
      </c>
      <c r="Z17" s="8">
        <v>1.2</v>
      </c>
      <c r="AA17" s="8">
        <v>1.2</v>
      </c>
      <c r="AB17" s="8">
        <v>1.2</v>
      </c>
      <c r="AC17" s="8">
        <v>1.2</v>
      </c>
      <c r="AD17" s="8">
        <v>1.2</v>
      </c>
      <c r="AE17" s="8">
        <v>1.2</v>
      </c>
      <c r="AF17" s="8">
        <v>1.2</v>
      </c>
      <c r="AG17" s="8">
        <v>1.2</v>
      </c>
      <c r="AH17" s="8">
        <v>1.2</v>
      </c>
      <c r="AI17" s="8">
        <v>1.2</v>
      </c>
      <c r="AJ17" s="8">
        <v>1.2</v>
      </c>
      <c r="AN17" s="2" t="str">
        <f>AN9</f>
        <v>Stroke</v>
      </c>
      <c r="AO17" s="8">
        <v>0.2</v>
      </c>
      <c r="AP17" s="8">
        <v>0.2</v>
      </c>
      <c r="AQ17" s="8">
        <v>0.3</v>
      </c>
      <c r="AR17" s="8">
        <v>0.4</v>
      </c>
      <c r="AS17" s="8">
        <v>0.5</v>
      </c>
      <c r="AT17" s="8">
        <v>0.7</v>
      </c>
      <c r="AU17" s="8">
        <v>0.9</v>
      </c>
      <c r="AV17" s="8">
        <v>0.9</v>
      </c>
      <c r="AW17" s="8">
        <v>0.9</v>
      </c>
      <c r="AX17" s="8">
        <v>0.9</v>
      </c>
      <c r="AY17" s="8">
        <v>0.9</v>
      </c>
      <c r="AZ17" s="8">
        <v>0.9</v>
      </c>
      <c r="BA17" s="8">
        <v>0.9</v>
      </c>
      <c r="BB17" s="8">
        <v>0.9</v>
      </c>
      <c r="BC17" s="8">
        <v>0.9</v>
      </c>
    </row>
    <row r="18" spans="1:55" ht="12.75">
      <c r="B18" s="2" t="str">
        <f>B10</f>
        <v>OthEvent</v>
      </c>
      <c r="C18" s="8">
        <v>0.2</v>
      </c>
      <c r="D18" s="8">
        <v>0.2</v>
      </c>
      <c r="E18" s="8">
        <v>0.3</v>
      </c>
      <c r="F18" s="8">
        <v>0.4</v>
      </c>
      <c r="G18" s="8">
        <v>0.5</v>
      </c>
      <c r="H18" s="8">
        <v>0.7</v>
      </c>
      <c r="I18" s="8">
        <v>0.9</v>
      </c>
      <c r="J18" s="8">
        <v>0.9</v>
      </c>
      <c r="K18" s="8">
        <v>0.9</v>
      </c>
      <c r="L18" s="8">
        <v>0.9</v>
      </c>
      <c r="M18" s="8">
        <v>0.9</v>
      </c>
      <c r="N18" s="8">
        <v>0.9</v>
      </c>
      <c r="O18" s="8">
        <v>0.9</v>
      </c>
      <c r="P18" s="8">
        <v>0.9</v>
      </c>
      <c r="Q18" s="8">
        <v>0.9</v>
      </c>
      <c r="R18" s="19"/>
      <c r="T18" s="2"/>
      <c r="U18" s="2" t="str">
        <f>U10</f>
        <v>OthEvent</v>
      </c>
      <c r="V18" s="8">
        <v>1.2</v>
      </c>
      <c r="W18" s="8">
        <v>1.2</v>
      </c>
      <c r="X18" s="8">
        <v>1.2</v>
      </c>
      <c r="Y18" s="8">
        <v>1.2</v>
      </c>
      <c r="Z18" s="8">
        <v>1.2</v>
      </c>
      <c r="AA18" s="8">
        <v>1.2</v>
      </c>
      <c r="AB18" s="8">
        <v>1.2</v>
      </c>
      <c r="AC18" s="8">
        <v>1.2</v>
      </c>
      <c r="AD18" s="8">
        <v>1.2</v>
      </c>
      <c r="AE18" s="8">
        <v>1.2</v>
      </c>
      <c r="AF18" s="8">
        <v>1.2</v>
      </c>
      <c r="AG18" s="8">
        <v>1.2</v>
      </c>
      <c r="AH18" s="8">
        <v>1.2</v>
      </c>
      <c r="AI18" s="8">
        <v>1.2</v>
      </c>
      <c r="AJ18" s="8">
        <v>1.2</v>
      </c>
      <c r="AN18" s="2" t="str">
        <f>AN10</f>
        <v>OthEvent</v>
      </c>
      <c r="AO18" s="8">
        <v>0.2</v>
      </c>
      <c r="AP18" s="8">
        <v>0.2</v>
      </c>
      <c r="AQ18" s="8">
        <v>0.3</v>
      </c>
      <c r="AR18" s="8">
        <v>0.4</v>
      </c>
      <c r="AS18" s="8">
        <v>0.5</v>
      </c>
      <c r="AT18" s="8">
        <v>0.7</v>
      </c>
      <c r="AU18" s="8">
        <v>0.9</v>
      </c>
      <c r="AV18" s="8">
        <v>0.9</v>
      </c>
      <c r="AW18" s="8">
        <v>0.9</v>
      </c>
      <c r="AX18" s="8">
        <v>0.9</v>
      </c>
      <c r="AY18" s="8">
        <v>0.9</v>
      </c>
      <c r="AZ18" s="8">
        <v>0.9</v>
      </c>
      <c r="BA18" s="8">
        <v>0.9</v>
      </c>
      <c r="BB18" s="8">
        <v>0.9</v>
      </c>
      <c r="BC18" s="8">
        <v>0.9</v>
      </c>
    </row>
    <row r="19" spans="1:55"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1" spans="1:55" ht="12.75">
      <c r="A21" s="12" t="s">
        <v>274</v>
      </c>
      <c r="T21" s="12" t="s">
        <v>275</v>
      </c>
      <c r="AM21" s="12" t="s">
        <v>323</v>
      </c>
    </row>
    <row r="22" spans="1:55">
      <c r="AB22" s="12" t="s">
        <v>22</v>
      </c>
    </row>
    <row r="23" spans="1:55" ht="12.75">
      <c r="C23" s="105" t="s">
        <v>15</v>
      </c>
      <c r="D23" s="105" t="s">
        <v>16</v>
      </c>
      <c r="E23" s="104" t="s">
        <v>17</v>
      </c>
      <c r="T23" s="2" t="s">
        <v>13</v>
      </c>
      <c r="U23" s="2" t="s">
        <v>22</v>
      </c>
      <c r="V23" s="2" t="s">
        <v>98</v>
      </c>
      <c r="W23" s="2" t="s">
        <v>108</v>
      </c>
      <c r="X23" s="2" t="s">
        <v>83</v>
      </c>
      <c r="Y23" s="2" t="s">
        <v>84</v>
      </c>
      <c r="Z23" s="2" t="s">
        <v>85</v>
      </c>
      <c r="AA23" s="2" t="s">
        <v>86</v>
      </c>
      <c r="AB23" s="2" t="s">
        <v>87</v>
      </c>
      <c r="AC23" s="2" t="s">
        <v>88</v>
      </c>
      <c r="AD23" s="2" t="s">
        <v>89</v>
      </c>
      <c r="AE23" s="2" t="s">
        <v>90</v>
      </c>
      <c r="AF23" s="2" t="s">
        <v>91</v>
      </c>
      <c r="AG23" s="2" t="s">
        <v>92</v>
      </c>
      <c r="AH23" s="2" t="s">
        <v>93</v>
      </c>
      <c r="AI23" s="2" t="s">
        <v>94</v>
      </c>
      <c r="AJ23" s="2" t="s">
        <v>95</v>
      </c>
      <c r="AN23" s="2" t="s">
        <v>13</v>
      </c>
    </row>
    <row r="24" spans="1:55" ht="12.75">
      <c r="B24" s="2" t="str">
        <f>B6</f>
        <v>LungCancer</v>
      </c>
      <c r="C24" s="8">
        <v>1.3</v>
      </c>
      <c r="D24" s="8">
        <v>1.8</v>
      </c>
      <c r="E24" s="39">
        <v>2</v>
      </c>
      <c r="T24" s="2"/>
      <c r="U24" s="2" t="str">
        <f>B24</f>
        <v>LungCancer</v>
      </c>
      <c r="V24" s="8">
        <v>0.2</v>
      </c>
      <c r="W24" s="8">
        <v>0.2</v>
      </c>
      <c r="X24" s="8">
        <v>0.3</v>
      </c>
      <c r="Y24" s="8">
        <v>0.4</v>
      </c>
      <c r="Z24" s="8">
        <v>0.5</v>
      </c>
      <c r="AA24" s="8">
        <v>0.7</v>
      </c>
      <c r="AB24" s="8">
        <v>0.9</v>
      </c>
      <c r="AC24" s="8">
        <v>0.9</v>
      </c>
      <c r="AD24" s="8">
        <v>0.9</v>
      </c>
      <c r="AE24" s="8">
        <v>0.9</v>
      </c>
      <c r="AF24" s="8">
        <v>0.9</v>
      </c>
      <c r="AG24" s="8">
        <v>0.9</v>
      </c>
      <c r="AH24" s="8">
        <v>0.9</v>
      </c>
      <c r="AI24" s="8">
        <v>0.9</v>
      </c>
      <c r="AJ24" s="8">
        <v>0.9</v>
      </c>
      <c r="AN24" s="2" t="str">
        <f>U24</f>
        <v>LungCancer</v>
      </c>
      <c r="AO24" s="8">
        <v>0.2</v>
      </c>
    </row>
    <row r="25" spans="1:55" ht="12.75">
      <c r="B25" s="2" t="str">
        <f>B7</f>
        <v>COPD</v>
      </c>
      <c r="C25" s="8">
        <v>1.3</v>
      </c>
      <c r="D25" s="8">
        <v>1.8</v>
      </c>
      <c r="E25" s="39">
        <v>2</v>
      </c>
      <c r="T25" s="2"/>
      <c r="U25" s="2" t="str">
        <f>B25</f>
        <v>COPD</v>
      </c>
      <c r="V25" s="8">
        <v>0.2</v>
      </c>
      <c r="W25" s="8">
        <v>0.2</v>
      </c>
      <c r="X25" s="8">
        <v>0.3</v>
      </c>
      <c r="Y25" s="8">
        <v>0.4</v>
      </c>
      <c r="Z25" s="8">
        <v>0.5</v>
      </c>
      <c r="AA25" s="8">
        <v>0.7</v>
      </c>
      <c r="AB25" s="8">
        <v>0.9</v>
      </c>
      <c r="AC25" s="8">
        <v>0.9</v>
      </c>
      <c r="AD25" s="8">
        <v>0.9</v>
      </c>
      <c r="AE25" s="8">
        <v>0.9</v>
      </c>
      <c r="AF25" s="8">
        <v>0.9</v>
      </c>
      <c r="AG25" s="8">
        <v>0.9</v>
      </c>
      <c r="AH25" s="8">
        <v>0.9</v>
      </c>
      <c r="AI25" s="8">
        <v>0.9</v>
      </c>
      <c r="AJ25" s="8">
        <v>0.9</v>
      </c>
      <c r="AN25" s="2" t="str">
        <f>U25</f>
        <v>COPD</v>
      </c>
      <c r="AO25" s="8">
        <v>0.2</v>
      </c>
    </row>
    <row r="26" spans="1:55" ht="12.75">
      <c r="B26" s="2" t="str">
        <f>B8</f>
        <v>MI</v>
      </c>
      <c r="C26" s="8">
        <v>1.3</v>
      </c>
      <c r="D26" s="8">
        <v>1.8</v>
      </c>
      <c r="E26" s="39">
        <v>2</v>
      </c>
      <c r="T26" s="2"/>
      <c r="U26" s="2" t="str">
        <f>B26</f>
        <v>MI</v>
      </c>
      <c r="V26" s="8">
        <v>0.2</v>
      </c>
      <c r="W26" s="8">
        <v>0.2</v>
      </c>
      <c r="X26" s="8">
        <v>0.3</v>
      </c>
      <c r="Y26" s="8">
        <v>0.4</v>
      </c>
      <c r="Z26" s="8">
        <v>0.5</v>
      </c>
      <c r="AA26" s="8">
        <v>0.7</v>
      </c>
      <c r="AB26" s="8">
        <v>0.9</v>
      </c>
      <c r="AC26" s="8">
        <v>0.9</v>
      </c>
      <c r="AD26" s="8">
        <v>0.9</v>
      </c>
      <c r="AE26" s="8">
        <v>0.9</v>
      </c>
      <c r="AF26" s="8">
        <v>0.9</v>
      </c>
      <c r="AG26" s="8">
        <v>0.9</v>
      </c>
      <c r="AH26" s="8">
        <v>0.9</v>
      </c>
      <c r="AI26" s="8">
        <v>0.9</v>
      </c>
      <c r="AJ26" s="8">
        <v>0.9</v>
      </c>
      <c r="AN26" s="2" t="str">
        <f>U26</f>
        <v>MI</v>
      </c>
      <c r="AO26" s="8">
        <v>0.2</v>
      </c>
    </row>
    <row r="27" spans="1:55" ht="12.75">
      <c r="B27" s="2" t="str">
        <f>B9</f>
        <v>Stroke</v>
      </c>
      <c r="C27" s="8">
        <v>1.3</v>
      </c>
      <c r="D27" s="8">
        <v>1.8</v>
      </c>
      <c r="E27" s="39">
        <v>2</v>
      </c>
      <c r="T27" s="2"/>
      <c r="U27" s="2" t="str">
        <f>B27</f>
        <v>Stroke</v>
      </c>
      <c r="V27" s="8">
        <v>0.2</v>
      </c>
      <c r="W27" s="8">
        <v>0.2</v>
      </c>
      <c r="X27" s="8">
        <v>0.3</v>
      </c>
      <c r="Y27" s="8">
        <v>0.4</v>
      </c>
      <c r="Z27" s="8">
        <v>0.5</v>
      </c>
      <c r="AA27" s="8">
        <v>0.7</v>
      </c>
      <c r="AB27" s="8">
        <v>0.9</v>
      </c>
      <c r="AC27" s="8">
        <v>0.9</v>
      </c>
      <c r="AD27" s="8">
        <v>0.9</v>
      </c>
      <c r="AE27" s="8">
        <v>0.9</v>
      </c>
      <c r="AF27" s="8">
        <v>0.9</v>
      </c>
      <c r="AG27" s="8">
        <v>0.9</v>
      </c>
      <c r="AH27" s="8">
        <v>0.9</v>
      </c>
      <c r="AI27" s="8">
        <v>0.9</v>
      </c>
      <c r="AJ27" s="8">
        <v>0.9</v>
      </c>
      <c r="AN27" s="2" t="str">
        <f>U27</f>
        <v>Stroke</v>
      </c>
      <c r="AO27" s="8">
        <v>0.2</v>
      </c>
    </row>
    <row r="28" spans="1:55" ht="12.75">
      <c r="B28" s="2" t="str">
        <f>B10</f>
        <v>OthEvent</v>
      </c>
      <c r="C28" s="8">
        <v>1.3</v>
      </c>
      <c r="D28" s="8">
        <v>1.8</v>
      </c>
      <c r="E28" s="39">
        <v>2</v>
      </c>
      <c r="G28" s="105"/>
      <c r="H28" s="105"/>
      <c r="O28" s="105"/>
      <c r="P28" s="105"/>
      <c r="Q28" s="105"/>
      <c r="R28" s="115"/>
      <c r="T28" s="2"/>
      <c r="U28" s="2" t="str">
        <f>B28</f>
        <v>OthEvent</v>
      </c>
      <c r="V28" s="8">
        <v>0.2</v>
      </c>
      <c r="W28" s="8">
        <v>0.2</v>
      </c>
      <c r="X28" s="8">
        <v>0.3</v>
      </c>
      <c r="Y28" s="8">
        <v>0.4</v>
      </c>
      <c r="Z28" s="8">
        <v>0.5</v>
      </c>
      <c r="AA28" s="8">
        <v>0.7</v>
      </c>
      <c r="AB28" s="8">
        <v>0.9</v>
      </c>
      <c r="AC28" s="8">
        <v>0.9</v>
      </c>
      <c r="AD28" s="8">
        <v>0.9</v>
      </c>
      <c r="AE28" s="8">
        <v>0.9</v>
      </c>
      <c r="AF28" s="8">
        <v>0.9</v>
      </c>
      <c r="AG28" s="8">
        <v>0.9</v>
      </c>
      <c r="AH28" s="8">
        <v>0.9</v>
      </c>
      <c r="AI28" s="8">
        <v>0.9</v>
      </c>
      <c r="AJ28" s="8">
        <v>0.9</v>
      </c>
      <c r="AN28" s="2" t="str">
        <f>U28</f>
        <v>OthEvent</v>
      </c>
      <c r="AO28" s="8">
        <v>0.2</v>
      </c>
    </row>
    <row r="29" spans="1:55" ht="12.75">
      <c r="C29" s="19"/>
      <c r="D29" s="19"/>
      <c r="E29" s="63"/>
      <c r="G29" s="115"/>
      <c r="H29" s="115"/>
      <c r="O29" s="115"/>
      <c r="P29" s="115"/>
      <c r="Q29" s="115"/>
      <c r="R29" s="115"/>
      <c r="T29" s="2"/>
    </row>
    <row r="30" spans="1:55" ht="12.75">
      <c r="G30" s="19"/>
      <c r="H30" s="19"/>
      <c r="O30" s="19"/>
      <c r="P30" s="19"/>
      <c r="Q30" s="19"/>
      <c r="R30" s="19"/>
      <c r="T30" s="2"/>
      <c r="AB30" s="12" t="s">
        <v>22</v>
      </c>
    </row>
    <row r="31" spans="1:55" ht="12.75">
      <c r="A31" s="12" t="s">
        <v>285</v>
      </c>
      <c r="P31" s="19"/>
      <c r="Q31" s="19"/>
      <c r="R31" s="19"/>
      <c r="T31" s="2" t="s">
        <v>12</v>
      </c>
      <c r="U31" s="2" t="s">
        <v>22</v>
      </c>
      <c r="V31" s="2" t="s">
        <v>98</v>
      </c>
      <c r="W31" s="2" t="s">
        <v>108</v>
      </c>
      <c r="X31" s="2" t="s">
        <v>83</v>
      </c>
      <c r="Y31" s="2" t="s">
        <v>84</v>
      </c>
      <c r="Z31" s="2" t="s">
        <v>85</v>
      </c>
      <c r="AA31" s="2" t="s">
        <v>86</v>
      </c>
      <c r="AB31" s="2" t="s">
        <v>87</v>
      </c>
      <c r="AC31" s="2" t="s">
        <v>88</v>
      </c>
      <c r="AD31" s="2" t="s">
        <v>89</v>
      </c>
      <c r="AE31" s="2" t="s">
        <v>90</v>
      </c>
      <c r="AF31" s="2" t="s">
        <v>91</v>
      </c>
      <c r="AG31" s="2" t="s">
        <v>92</v>
      </c>
      <c r="AH31" s="2" t="s">
        <v>93</v>
      </c>
      <c r="AI31" s="2" t="s">
        <v>94</v>
      </c>
      <c r="AJ31" s="2" t="s">
        <v>95</v>
      </c>
      <c r="AN31" s="2" t="s">
        <v>12</v>
      </c>
    </row>
    <row r="32" spans="1:55" ht="12.75">
      <c r="P32" s="19"/>
      <c r="Q32" s="19"/>
      <c r="R32" s="19"/>
      <c r="T32" s="2"/>
      <c r="U32" s="2" t="str">
        <f>U24</f>
        <v>LungCancer</v>
      </c>
      <c r="V32" s="8">
        <v>0.2</v>
      </c>
      <c r="W32" s="8">
        <v>0.2</v>
      </c>
      <c r="X32" s="8">
        <v>0.3</v>
      </c>
      <c r="Y32" s="8">
        <v>0.4</v>
      </c>
      <c r="Z32" s="8">
        <v>0.5</v>
      </c>
      <c r="AA32" s="8">
        <v>0.7</v>
      </c>
      <c r="AB32" s="8">
        <v>0.9</v>
      </c>
      <c r="AC32" s="8">
        <v>0.9</v>
      </c>
      <c r="AD32" s="8">
        <v>0.9</v>
      </c>
      <c r="AE32" s="8">
        <v>0.9</v>
      </c>
      <c r="AF32" s="8">
        <v>0.9</v>
      </c>
      <c r="AG32" s="8">
        <v>0.9</v>
      </c>
      <c r="AH32" s="8">
        <v>0.9</v>
      </c>
      <c r="AI32" s="8">
        <v>0.9</v>
      </c>
      <c r="AJ32" s="8">
        <v>0.9</v>
      </c>
      <c r="AN32" s="2" t="str">
        <f>AN24</f>
        <v>LungCancer</v>
      </c>
      <c r="AO32" s="8">
        <v>0.2</v>
      </c>
    </row>
    <row r="33" spans="2:41" ht="12.75">
      <c r="G33" s="12"/>
      <c r="I33" s="12" t="s">
        <v>112</v>
      </c>
      <c r="T33" s="2"/>
      <c r="U33" s="2" t="str">
        <f>U25</f>
        <v>COPD</v>
      </c>
      <c r="V33" s="8">
        <v>0.2</v>
      </c>
      <c r="W33" s="8">
        <v>0.2</v>
      </c>
      <c r="X33" s="8">
        <v>0.3</v>
      </c>
      <c r="Y33" s="8">
        <v>0.4</v>
      </c>
      <c r="Z33" s="8">
        <v>0.5</v>
      </c>
      <c r="AA33" s="8">
        <v>0.7</v>
      </c>
      <c r="AB33" s="8">
        <v>0.9</v>
      </c>
      <c r="AC33" s="8">
        <v>0.9</v>
      </c>
      <c r="AD33" s="8">
        <v>0.9</v>
      </c>
      <c r="AE33" s="8">
        <v>0.9</v>
      </c>
      <c r="AF33" s="8">
        <v>0.9</v>
      </c>
      <c r="AG33" s="8">
        <v>0.9</v>
      </c>
      <c r="AH33" s="8">
        <v>0.9</v>
      </c>
      <c r="AI33" s="8">
        <v>0.9</v>
      </c>
      <c r="AJ33" s="8">
        <v>0.9</v>
      </c>
      <c r="AN33" s="2" t="str">
        <f>AN25</f>
        <v>COPD</v>
      </c>
      <c r="AO33" s="8">
        <v>0.2</v>
      </c>
    </row>
    <row r="34" spans="2:41" ht="12.75">
      <c r="B34" s="12" t="s">
        <v>15</v>
      </c>
      <c r="C34" s="2" t="s">
        <v>98</v>
      </c>
      <c r="D34" s="2" t="s">
        <v>108</v>
      </c>
      <c r="E34" s="2" t="s">
        <v>83</v>
      </c>
      <c r="F34" s="2" t="s">
        <v>84</v>
      </c>
      <c r="G34" s="2" t="s">
        <v>85</v>
      </c>
      <c r="H34" s="2" t="s">
        <v>86</v>
      </c>
      <c r="I34" s="2" t="s">
        <v>87</v>
      </c>
      <c r="J34" s="2" t="s">
        <v>88</v>
      </c>
      <c r="K34" s="2" t="s">
        <v>89</v>
      </c>
      <c r="L34" s="2" t="s">
        <v>90</v>
      </c>
      <c r="M34" s="2" t="s">
        <v>91</v>
      </c>
      <c r="N34" s="2" t="s">
        <v>92</v>
      </c>
      <c r="O34" s="2" t="s">
        <v>93</v>
      </c>
      <c r="P34" s="2" t="s">
        <v>94</v>
      </c>
      <c r="Q34" s="2" t="s">
        <v>95</v>
      </c>
      <c r="T34" s="2"/>
      <c r="U34" s="2" t="str">
        <f>U26</f>
        <v>MI</v>
      </c>
      <c r="V34" s="8">
        <v>0.2</v>
      </c>
      <c r="W34" s="8">
        <v>0.2</v>
      </c>
      <c r="X34" s="8">
        <v>0.3</v>
      </c>
      <c r="Y34" s="8">
        <v>0.4</v>
      </c>
      <c r="Z34" s="8">
        <v>0.5</v>
      </c>
      <c r="AA34" s="8">
        <v>0.7</v>
      </c>
      <c r="AB34" s="8">
        <v>0.9</v>
      </c>
      <c r="AC34" s="8">
        <v>0.9</v>
      </c>
      <c r="AD34" s="8">
        <v>0.9</v>
      </c>
      <c r="AE34" s="8">
        <v>0.9</v>
      </c>
      <c r="AF34" s="8">
        <v>0.9</v>
      </c>
      <c r="AG34" s="8">
        <v>0.9</v>
      </c>
      <c r="AH34" s="8">
        <v>0.9</v>
      </c>
      <c r="AI34" s="8">
        <v>0.9</v>
      </c>
      <c r="AJ34" s="8">
        <v>0.9</v>
      </c>
      <c r="AN34" s="2" t="str">
        <f>AN26</f>
        <v>MI</v>
      </c>
      <c r="AO34" s="8">
        <v>0.2</v>
      </c>
    </row>
    <row r="35" spans="2:41" ht="12.75">
      <c r="B35" s="2" t="str">
        <f>U24</f>
        <v>LungCancer</v>
      </c>
      <c r="C35" s="8">
        <v>1.2</v>
      </c>
      <c r="D35" s="8">
        <v>1.2</v>
      </c>
      <c r="E35" s="8">
        <v>1.3</v>
      </c>
      <c r="F35" s="8">
        <v>1.4</v>
      </c>
      <c r="G35" s="8">
        <v>1.5</v>
      </c>
      <c r="H35" s="8">
        <v>1.7</v>
      </c>
      <c r="I35" s="8">
        <v>1.9</v>
      </c>
      <c r="J35" s="8">
        <v>1.9</v>
      </c>
      <c r="K35" s="8">
        <v>1.9</v>
      </c>
      <c r="L35" s="8">
        <v>1.9</v>
      </c>
      <c r="M35" s="8">
        <v>1.9</v>
      </c>
      <c r="N35" s="8">
        <v>1.9</v>
      </c>
      <c r="O35" s="8">
        <v>1.9</v>
      </c>
      <c r="P35" s="8">
        <v>1.9</v>
      </c>
      <c r="Q35" s="8">
        <v>1.9</v>
      </c>
      <c r="R35" s="19"/>
      <c r="T35" s="2"/>
      <c r="U35" s="2" t="str">
        <f>U27</f>
        <v>Stroke</v>
      </c>
      <c r="V35" s="8">
        <v>0.2</v>
      </c>
      <c r="W35" s="8">
        <v>0.2</v>
      </c>
      <c r="X35" s="8">
        <v>0.3</v>
      </c>
      <c r="Y35" s="8">
        <v>0.4</v>
      </c>
      <c r="Z35" s="8">
        <v>0.5</v>
      </c>
      <c r="AA35" s="8">
        <v>0.7</v>
      </c>
      <c r="AB35" s="8">
        <v>0.9</v>
      </c>
      <c r="AC35" s="8">
        <v>0.9</v>
      </c>
      <c r="AD35" s="8">
        <v>0.9</v>
      </c>
      <c r="AE35" s="8">
        <v>0.9</v>
      </c>
      <c r="AF35" s="8">
        <v>0.9</v>
      </c>
      <c r="AG35" s="8">
        <v>0.9</v>
      </c>
      <c r="AH35" s="8">
        <v>0.9</v>
      </c>
      <c r="AI35" s="8">
        <v>0.9</v>
      </c>
      <c r="AJ35" s="8">
        <v>0.9</v>
      </c>
      <c r="AN35" s="2" t="str">
        <f>AN27</f>
        <v>Stroke</v>
      </c>
      <c r="AO35" s="8">
        <v>0.2</v>
      </c>
    </row>
    <row r="36" spans="2:41" ht="12.75">
      <c r="B36" s="2" t="str">
        <f>U25</f>
        <v>COPD</v>
      </c>
      <c r="C36" s="8">
        <v>1.2</v>
      </c>
      <c r="D36" s="8">
        <v>1.2</v>
      </c>
      <c r="E36" s="8">
        <v>1.3</v>
      </c>
      <c r="F36" s="8">
        <v>1.4</v>
      </c>
      <c r="G36" s="8">
        <v>1.5</v>
      </c>
      <c r="H36" s="8">
        <v>1.7</v>
      </c>
      <c r="I36" s="8">
        <v>1.9</v>
      </c>
      <c r="J36" s="8">
        <v>1.9</v>
      </c>
      <c r="K36" s="8">
        <v>1.9</v>
      </c>
      <c r="L36" s="8">
        <v>1.9</v>
      </c>
      <c r="M36" s="8">
        <v>1.9</v>
      </c>
      <c r="N36" s="8">
        <v>1.9</v>
      </c>
      <c r="O36" s="8">
        <v>1.9</v>
      </c>
      <c r="P36" s="8">
        <v>1.9</v>
      </c>
      <c r="Q36" s="8">
        <v>1.9</v>
      </c>
      <c r="R36" s="19"/>
      <c r="T36" s="2"/>
      <c r="U36" s="2" t="str">
        <f>U28</f>
        <v>OthEvent</v>
      </c>
      <c r="V36" s="8">
        <v>0.2</v>
      </c>
      <c r="W36" s="8">
        <v>0.2</v>
      </c>
      <c r="X36" s="8">
        <v>0.3</v>
      </c>
      <c r="Y36" s="8">
        <v>0.4</v>
      </c>
      <c r="Z36" s="8">
        <v>0.5</v>
      </c>
      <c r="AA36" s="8">
        <v>0.7</v>
      </c>
      <c r="AB36" s="8">
        <v>0.9</v>
      </c>
      <c r="AC36" s="8">
        <v>0.9</v>
      </c>
      <c r="AD36" s="8">
        <v>0.9</v>
      </c>
      <c r="AE36" s="8">
        <v>0.9</v>
      </c>
      <c r="AF36" s="8">
        <v>0.9</v>
      </c>
      <c r="AG36" s="8">
        <v>0.9</v>
      </c>
      <c r="AH36" s="8">
        <v>0.9</v>
      </c>
      <c r="AI36" s="8">
        <v>0.9</v>
      </c>
      <c r="AJ36" s="8">
        <v>0.9</v>
      </c>
      <c r="AN36" s="2" t="str">
        <f>AN28</f>
        <v>OthEvent</v>
      </c>
      <c r="AO36" s="8">
        <v>0.2</v>
      </c>
    </row>
    <row r="37" spans="2:41">
      <c r="B37" s="2" t="str">
        <f>U26</f>
        <v>MI</v>
      </c>
      <c r="C37" s="8">
        <v>1.2</v>
      </c>
      <c r="D37" s="8">
        <v>1.2</v>
      </c>
      <c r="E37" s="8">
        <v>1.3</v>
      </c>
      <c r="F37" s="8">
        <v>1.4</v>
      </c>
      <c r="G37" s="8">
        <v>1.5</v>
      </c>
      <c r="H37" s="8">
        <v>1.7</v>
      </c>
      <c r="I37" s="8">
        <v>1.9</v>
      </c>
      <c r="J37" s="8">
        <v>1.9</v>
      </c>
      <c r="K37" s="8">
        <v>1.9</v>
      </c>
      <c r="L37" s="8">
        <v>1.9</v>
      </c>
      <c r="M37" s="8">
        <v>1.9</v>
      </c>
      <c r="N37" s="8">
        <v>1.9</v>
      </c>
      <c r="O37" s="8">
        <v>1.9</v>
      </c>
      <c r="P37" s="8">
        <v>1.9</v>
      </c>
      <c r="Q37" s="8">
        <v>1.9</v>
      </c>
      <c r="R37" s="19"/>
    </row>
    <row r="38" spans="2:41">
      <c r="B38" s="2" t="str">
        <f>U27</f>
        <v>Stroke</v>
      </c>
      <c r="C38" s="8">
        <v>1.2</v>
      </c>
      <c r="D38" s="8">
        <v>1.2</v>
      </c>
      <c r="E38" s="8">
        <v>1.3</v>
      </c>
      <c r="F38" s="8">
        <v>1.4</v>
      </c>
      <c r="G38" s="8">
        <v>1.5</v>
      </c>
      <c r="H38" s="8">
        <v>1.7</v>
      </c>
      <c r="I38" s="8">
        <v>1.9</v>
      </c>
      <c r="J38" s="8">
        <v>1.9</v>
      </c>
      <c r="K38" s="8">
        <v>1.9</v>
      </c>
      <c r="L38" s="8">
        <v>1.9</v>
      </c>
      <c r="M38" s="8">
        <v>1.9</v>
      </c>
      <c r="N38" s="8">
        <v>1.9</v>
      </c>
      <c r="O38" s="8">
        <v>1.9</v>
      </c>
      <c r="P38" s="8">
        <v>1.9</v>
      </c>
      <c r="Q38" s="8">
        <v>1.9</v>
      </c>
      <c r="R38" s="19"/>
    </row>
    <row r="39" spans="2:41">
      <c r="B39" s="2" t="str">
        <f>U28</f>
        <v>OthEvent</v>
      </c>
      <c r="C39" s="8">
        <v>1.2</v>
      </c>
      <c r="D39" s="8">
        <v>1.2</v>
      </c>
      <c r="E39" s="8">
        <v>1.3</v>
      </c>
      <c r="F39" s="8">
        <v>1.4</v>
      </c>
      <c r="G39" s="8">
        <v>1.5</v>
      </c>
      <c r="H39" s="8">
        <v>1.7</v>
      </c>
      <c r="I39" s="8">
        <v>1.9</v>
      </c>
      <c r="J39" s="8">
        <v>1.9</v>
      </c>
      <c r="K39" s="8">
        <v>1.9</v>
      </c>
      <c r="L39" s="8">
        <v>1.9</v>
      </c>
      <c r="M39" s="8">
        <v>1.9</v>
      </c>
      <c r="N39" s="8">
        <v>1.9</v>
      </c>
      <c r="O39" s="8">
        <v>1.9</v>
      </c>
      <c r="P39" s="8">
        <v>1.9</v>
      </c>
      <c r="Q39" s="8">
        <v>1.9</v>
      </c>
      <c r="R39" s="19"/>
      <c r="AM39" s="12" t="s">
        <v>322</v>
      </c>
    </row>
    <row r="40" spans="2:41">
      <c r="P40" s="19"/>
      <c r="Q40" s="19"/>
      <c r="R40" s="19"/>
    </row>
    <row r="41" spans="2:41">
      <c r="I41" s="12" t="s">
        <v>112</v>
      </c>
      <c r="P41" s="19"/>
      <c r="Q41" s="19"/>
      <c r="R41" s="19"/>
      <c r="AN41" s="2" t="s">
        <v>13</v>
      </c>
    </row>
    <row r="42" spans="2:41">
      <c r="B42" s="12" t="s">
        <v>16</v>
      </c>
      <c r="C42" s="2" t="s">
        <v>98</v>
      </c>
      <c r="D42" s="2" t="s">
        <v>108</v>
      </c>
      <c r="E42" s="2" t="s">
        <v>83</v>
      </c>
      <c r="F42" s="2" t="s">
        <v>84</v>
      </c>
      <c r="G42" s="2" t="s">
        <v>85</v>
      </c>
      <c r="H42" s="2" t="s">
        <v>86</v>
      </c>
      <c r="I42" s="2" t="s">
        <v>87</v>
      </c>
      <c r="J42" s="2" t="s">
        <v>88</v>
      </c>
      <c r="K42" s="2" t="s">
        <v>89</v>
      </c>
      <c r="L42" s="2" t="s">
        <v>90</v>
      </c>
      <c r="M42" s="2" t="s">
        <v>91</v>
      </c>
      <c r="N42" s="2" t="s">
        <v>92</v>
      </c>
      <c r="O42" s="2" t="s">
        <v>93</v>
      </c>
      <c r="P42" s="2" t="s">
        <v>94</v>
      </c>
      <c r="Q42" s="2" t="s">
        <v>95</v>
      </c>
      <c r="AN42" s="2" t="str">
        <f>B6</f>
        <v>LungCancer</v>
      </c>
      <c r="AO42" s="8">
        <v>0.2</v>
      </c>
    </row>
    <row r="43" spans="2:41">
      <c r="B43" s="2" t="str">
        <f>B35</f>
        <v>LungCancer</v>
      </c>
      <c r="C43" s="8">
        <v>1.2</v>
      </c>
      <c r="D43" s="8">
        <v>1.2</v>
      </c>
      <c r="E43" s="8">
        <v>1.3</v>
      </c>
      <c r="F43" s="8">
        <v>1.4</v>
      </c>
      <c r="G43" s="8">
        <v>1.5</v>
      </c>
      <c r="H43" s="8">
        <v>1.7</v>
      </c>
      <c r="I43" s="8">
        <v>1.9</v>
      </c>
      <c r="J43" s="8">
        <v>1.9</v>
      </c>
      <c r="K43" s="8">
        <v>1.9</v>
      </c>
      <c r="L43" s="8">
        <v>1.9</v>
      </c>
      <c r="M43" s="8">
        <v>1.9</v>
      </c>
      <c r="N43" s="8">
        <v>1.9</v>
      </c>
      <c r="O43" s="8">
        <v>1.9</v>
      </c>
      <c r="P43" s="8">
        <v>1.9</v>
      </c>
      <c r="Q43" s="8">
        <v>1.9</v>
      </c>
      <c r="R43" s="19"/>
      <c r="AN43" s="2" t="str">
        <f>B7</f>
        <v>COPD</v>
      </c>
      <c r="AO43" s="8">
        <v>0.2</v>
      </c>
    </row>
    <row r="44" spans="2:41">
      <c r="B44" s="2" t="str">
        <f>B36</f>
        <v>COPD</v>
      </c>
      <c r="C44" s="8">
        <v>1.2</v>
      </c>
      <c r="D44" s="8">
        <v>1.2</v>
      </c>
      <c r="E44" s="8">
        <v>1.3</v>
      </c>
      <c r="F44" s="8">
        <v>1.4</v>
      </c>
      <c r="G44" s="8">
        <v>1.5</v>
      </c>
      <c r="H44" s="8">
        <v>1.7</v>
      </c>
      <c r="I44" s="8">
        <v>1.9</v>
      </c>
      <c r="J44" s="8">
        <v>1.9</v>
      </c>
      <c r="K44" s="8">
        <v>1.9</v>
      </c>
      <c r="L44" s="8">
        <v>1.9</v>
      </c>
      <c r="M44" s="8">
        <v>1.9</v>
      </c>
      <c r="N44" s="8">
        <v>1.9</v>
      </c>
      <c r="O44" s="8">
        <v>1.9</v>
      </c>
      <c r="P44" s="8">
        <v>1.9</v>
      </c>
      <c r="Q44" s="8">
        <v>1.9</v>
      </c>
      <c r="R44" s="19"/>
      <c r="AN44" s="2" t="str">
        <f>B8</f>
        <v>MI</v>
      </c>
      <c r="AO44" s="8">
        <v>0.2</v>
      </c>
    </row>
    <row r="45" spans="2:41">
      <c r="B45" s="2" t="str">
        <f>B37</f>
        <v>MI</v>
      </c>
      <c r="C45" s="8">
        <v>1.2</v>
      </c>
      <c r="D45" s="8">
        <v>1.2</v>
      </c>
      <c r="E45" s="8">
        <v>1.3</v>
      </c>
      <c r="F45" s="8">
        <v>1.4</v>
      </c>
      <c r="G45" s="8">
        <v>1.5</v>
      </c>
      <c r="H45" s="8">
        <v>1.7</v>
      </c>
      <c r="I45" s="8">
        <v>1.9</v>
      </c>
      <c r="J45" s="8">
        <v>1.9</v>
      </c>
      <c r="K45" s="8">
        <v>1.9</v>
      </c>
      <c r="L45" s="8">
        <v>1.9</v>
      </c>
      <c r="M45" s="8">
        <v>1.9</v>
      </c>
      <c r="N45" s="8">
        <v>1.9</v>
      </c>
      <c r="O45" s="8">
        <v>1.9</v>
      </c>
      <c r="P45" s="8">
        <v>1.9</v>
      </c>
      <c r="Q45" s="8">
        <v>1.9</v>
      </c>
      <c r="R45" s="19"/>
      <c r="AN45" s="2" t="str">
        <f>B9</f>
        <v>Stroke</v>
      </c>
      <c r="AO45" s="8">
        <v>0.2</v>
      </c>
    </row>
    <row r="46" spans="2:41">
      <c r="B46" s="2" t="str">
        <f>B38</f>
        <v>Stroke</v>
      </c>
      <c r="C46" s="8">
        <v>1.2</v>
      </c>
      <c r="D46" s="8">
        <v>1.2</v>
      </c>
      <c r="E46" s="8">
        <v>1.3</v>
      </c>
      <c r="F46" s="8">
        <v>1.4</v>
      </c>
      <c r="G46" s="8">
        <v>1.5</v>
      </c>
      <c r="H46" s="8">
        <v>1.7</v>
      </c>
      <c r="I46" s="8">
        <v>1.9</v>
      </c>
      <c r="J46" s="8">
        <v>1.9</v>
      </c>
      <c r="K46" s="8">
        <v>1.9</v>
      </c>
      <c r="L46" s="8">
        <v>1.9</v>
      </c>
      <c r="M46" s="8">
        <v>1.9</v>
      </c>
      <c r="N46" s="8">
        <v>1.9</v>
      </c>
      <c r="O46" s="8">
        <v>1.9</v>
      </c>
      <c r="P46" s="8">
        <v>1.9</v>
      </c>
      <c r="Q46" s="8">
        <v>1.9</v>
      </c>
      <c r="R46" s="19"/>
      <c r="AN46" s="2" t="str">
        <f>B10</f>
        <v>OthEvent</v>
      </c>
      <c r="AO46" s="8">
        <v>0.2</v>
      </c>
    </row>
    <row r="47" spans="2:41">
      <c r="B47" s="2" t="str">
        <f>B39</f>
        <v>OthEvent</v>
      </c>
      <c r="C47" s="8">
        <v>1.2</v>
      </c>
      <c r="D47" s="8">
        <v>1.2</v>
      </c>
      <c r="E47" s="8">
        <v>1.3</v>
      </c>
      <c r="F47" s="8">
        <v>1.4</v>
      </c>
      <c r="G47" s="8">
        <v>1.5</v>
      </c>
      <c r="H47" s="8">
        <v>1.7</v>
      </c>
      <c r="I47" s="8">
        <v>1.9</v>
      </c>
      <c r="J47" s="8">
        <v>1.9</v>
      </c>
      <c r="K47" s="8">
        <v>1.9</v>
      </c>
      <c r="L47" s="8">
        <v>1.9</v>
      </c>
      <c r="M47" s="8">
        <v>1.9</v>
      </c>
      <c r="N47" s="8">
        <v>1.9</v>
      </c>
      <c r="O47" s="8">
        <v>1.9</v>
      </c>
      <c r="P47" s="8">
        <v>1.9</v>
      </c>
      <c r="Q47" s="8">
        <v>1.9</v>
      </c>
      <c r="R47" s="19"/>
    </row>
    <row r="48" spans="2:41">
      <c r="P48" s="19"/>
      <c r="Q48" s="19"/>
      <c r="R48" s="19"/>
    </row>
    <row r="49" spans="1:47">
      <c r="I49" s="12" t="s">
        <v>112</v>
      </c>
      <c r="P49" s="19"/>
      <c r="Q49" s="19"/>
      <c r="R49" s="19"/>
      <c r="AN49" s="2" t="s">
        <v>12</v>
      </c>
    </row>
    <row r="50" spans="1:47">
      <c r="B50" s="12" t="s">
        <v>17</v>
      </c>
      <c r="C50" s="2" t="s">
        <v>98</v>
      </c>
      <c r="D50" s="2" t="s">
        <v>108</v>
      </c>
      <c r="E50" s="2" t="s">
        <v>83</v>
      </c>
      <c r="F50" s="2" t="s">
        <v>84</v>
      </c>
      <c r="G50" s="2" t="s">
        <v>85</v>
      </c>
      <c r="H50" s="2" t="s">
        <v>86</v>
      </c>
      <c r="I50" s="2" t="s">
        <v>87</v>
      </c>
      <c r="J50" s="2" t="s">
        <v>88</v>
      </c>
      <c r="K50" s="2" t="s">
        <v>89</v>
      </c>
      <c r="L50" s="2" t="s">
        <v>90</v>
      </c>
      <c r="M50" s="2" t="s">
        <v>91</v>
      </c>
      <c r="N50" s="2" t="s">
        <v>92</v>
      </c>
      <c r="O50" s="2" t="s">
        <v>93</v>
      </c>
      <c r="P50" s="2" t="s">
        <v>94</v>
      </c>
      <c r="Q50" s="2" t="s">
        <v>95</v>
      </c>
      <c r="AN50" s="2" t="str">
        <f>AN42</f>
        <v>LungCancer</v>
      </c>
      <c r="AO50" s="8">
        <v>0.2</v>
      </c>
    </row>
    <row r="51" spans="1:47">
      <c r="B51" s="2" t="str">
        <f>B43</f>
        <v>LungCancer</v>
      </c>
      <c r="C51" s="8">
        <v>1.2</v>
      </c>
      <c r="D51" s="8">
        <v>1.2</v>
      </c>
      <c r="E51" s="8">
        <v>1.3</v>
      </c>
      <c r="F51" s="8">
        <v>1.4</v>
      </c>
      <c r="G51" s="8">
        <v>1.5</v>
      </c>
      <c r="H51" s="8">
        <v>1.7</v>
      </c>
      <c r="I51" s="8">
        <v>1.9</v>
      </c>
      <c r="J51" s="8">
        <v>1.9</v>
      </c>
      <c r="K51" s="8">
        <v>1.9</v>
      </c>
      <c r="L51" s="8">
        <v>1.9</v>
      </c>
      <c r="M51" s="8">
        <v>1.9</v>
      </c>
      <c r="N51" s="8">
        <v>1.9</v>
      </c>
      <c r="O51" s="8">
        <v>1.9</v>
      </c>
      <c r="P51" s="8">
        <v>1.9</v>
      </c>
      <c r="Q51" s="8">
        <v>1.9</v>
      </c>
      <c r="R51" s="19"/>
      <c r="AN51" s="2" t="str">
        <f>AN43</f>
        <v>COPD</v>
      </c>
      <c r="AO51" s="8">
        <v>0.2</v>
      </c>
    </row>
    <row r="52" spans="1:47">
      <c r="B52" s="2" t="str">
        <f>B44</f>
        <v>COPD</v>
      </c>
      <c r="C52" s="8">
        <v>1.2</v>
      </c>
      <c r="D52" s="8">
        <v>1.2</v>
      </c>
      <c r="E52" s="8">
        <v>1.3</v>
      </c>
      <c r="F52" s="8">
        <v>1.4</v>
      </c>
      <c r="G52" s="8">
        <v>1.5</v>
      </c>
      <c r="H52" s="8">
        <v>1.7</v>
      </c>
      <c r="I52" s="8">
        <v>1.9</v>
      </c>
      <c r="J52" s="8">
        <v>1.9</v>
      </c>
      <c r="K52" s="8">
        <v>1.9</v>
      </c>
      <c r="L52" s="8">
        <v>1.9</v>
      </c>
      <c r="M52" s="8">
        <v>1.9</v>
      </c>
      <c r="N52" s="8">
        <v>1.9</v>
      </c>
      <c r="O52" s="8">
        <v>1.9</v>
      </c>
      <c r="P52" s="8">
        <v>1.9</v>
      </c>
      <c r="Q52" s="8">
        <v>1.9</v>
      </c>
      <c r="R52" s="19"/>
      <c r="AN52" s="2" t="str">
        <f>AN44</f>
        <v>MI</v>
      </c>
      <c r="AO52" s="8">
        <v>0.2</v>
      </c>
    </row>
    <row r="53" spans="1:47">
      <c r="B53" s="2" t="str">
        <f>B45</f>
        <v>MI</v>
      </c>
      <c r="C53" s="8">
        <v>1.2</v>
      </c>
      <c r="D53" s="8">
        <v>1.2</v>
      </c>
      <c r="E53" s="8">
        <v>1.3</v>
      </c>
      <c r="F53" s="8">
        <v>1.4</v>
      </c>
      <c r="G53" s="8">
        <v>1.5</v>
      </c>
      <c r="H53" s="8">
        <v>1.7</v>
      </c>
      <c r="I53" s="8">
        <v>1.9</v>
      </c>
      <c r="J53" s="8">
        <v>1.9</v>
      </c>
      <c r="K53" s="8">
        <v>1.9</v>
      </c>
      <c r="L53" s="8">
        <v>1.9</v>
      </c>
      <c r="M53" s="8">
        <v>1.9</v>
      </c>
      <c r="N53" s="8">
        <v>1.9</v>
      </c>
      <c r="O53" s="8">
        <v>1.9</v>
      </c>
      <c r="P53" s="8">
        <v>1.9</v>
      </c>
      <c r="Q53" s="8">
        <v>1.9</v>
      </c>
      <c r="R53" s="19"/>
      <c r="AN53" s="2" t="str">
        <f>AN45</f>
        <v>Stroke</v>
      </c>
      <c r="AO53" s="8">
        <v>0.2</v>
      </c>
    </row>
    <row r="54" spans="1:47">
      <c r="B54" s="2" t="str">
        <f>B46</f>
        <v>Stroke</v>
      </c>
      <c r="C54" s="8">
        <v>1.2</v>
      </c>
      <c r="D54" s="8">
        <v>1.2</v>
      </c>
      <c r="E54" s="8">
        <v>1.3</v>
      </c>
      <c r="F54" s="8">
        <v>1.4</v>
      </c>
      <c r="G54" s="8">
        <v>1.5</v>
      </c>
      <c r="H54" s="8">
        <v>1.7</v>
      </c>
      <c r="I54" s="8">
        <v>1.9</v>
      </c>
      <c r="J54" s="8">
        <v>1.9</v>
      </c>
      <c r="K54" s="8">
        <v>1.9</v>
      </c>
      <c r="L54" s="8">
        <v>1.9</v>
      </c>
      <c r="M54" s="8">
        <v>1.9</v>
      </c>
      <c r="N54" s="8">
        <v>1.9</v>
      </c>
      <c r="O54" s="8">
        <v>1.9</v>
      </c>
      <c r="P54" s="8">
        <v>1.9</v>
      </c>
      <c r="Q54" s="8">
        <v>1.9</v>
      </c>
      <c r="R54" s="19"/>
      <c r="AN54" s="2" t="str">
        <f>AN46</f>
        <v>OthEvent</v>
      </c>
      <c r="AO54" s="8">
        <v>0.2</v>
      </c>
    </row>
    <row r="55" spans="1:47">
      <c r="B55" s="2" t="str">
        <f>B47</f>
        <v>OthEvent</v>
      </c>
      <c r="C55" s="8">
        <v>1.2</v>
      </c>
      <c r="D55" s="8">
        <v>1.2</v>
      </c>
      <c r="E55" s="8">
        <v>1.3</v>
      </c>
      <c r="F55" s="8">
        <v>1.4</v>
      </c>
      <c r="G55" s="8">
        <v>1.5</v>
      </c>
      <c r="H55" s="8">
        <v>1.7</v>
      </c>
      <c r="I55" s="8">
        <v>1.9</v>
      </c>
      <c r="J55" s="8">
        <v>1.9</v>
      </c>
      <c r="K55" s="8">
        <v>1.9</v>
      </c>
      <c r="L55" s="8">
        <v>1.9</v>
      </c>
      <c r="M55" s="8">
        <v>1.9</v>
      </c>
      <c r="N55" s="8">
        <v>1.9</v>
      </c>
      <c r="O55" s="8">
        <v>1.9</v>
      </c>
      <c r="P55" s="8">
        <v>1.9</v>
      </c>
      <c r="Q55" s="8">
        <v>1.9</v>
      </c>
      <c r="R55" s="19"/>
      <c r="AM55" s="12" t="s">
        <v>332</v>
      </c>
    </row>
    <row r="56" spans="1:47">
      <c r="AP56" s="2" t="str">
        <f>AP70</f>
        <v>LungCancer</v>
      </c>
      <c r="AQ56" s="2" t="str">
        <f>AQ70</f>
        <v>COPD</v>
      </c>
      <c r="AR56" s="2" t="str">
        <f>AR70</f>
        <v>MI</v>
      </c>
      <c r="AS56" s="2" t="str">
        <f>AS70</f>
        <v>Stroke</v>
      </c>
      <c r="AT56" s="2" t="str">
        <f>AT70</f>
        <v>OthEvent</v>
      </c>
    </row>
    <row r="57" spans="1:47">
      <c r="AN57" s="177" t="s">
        <v>378</v>
      </c>
      <c r="AP57" s="20">
        <v>50</v>
      </c>
      <c r="AQ57" s="20">
        <v>50</v>
      </c>
      <c r="AR57" s="20">
        <v>50</v>
      </c>
      <c r="AS57" s="20">
        <v>50</v>
      </c>
      <c r="AT57" s="20">
        <v>50</v>
      </c>
      <c r="AU57" s="60" t="s">
        <v>97</v>
      </c>
    </row>
    <row r="58" spans="1:47">
      <c r="A58" s="12" t="s">
        <v>298</v>
      </c>
      <c r="AN58" s="177" t="s">
        <v>379</v>
      </c>
      <c r="AP58" s="20">
        <v>50</v>
      </c>
      <c r="AQ58" s="20">
        <v>50</v>
      </c>
      <c r="AR58" s="20">
        <v>50</v>
      </c>
      <c r="AS58" s="20">
        <v>50</v>
      </c>
      <c r="AT58" s="20">
        <v>50</v>
      </c>
      <c r="AU58" s="60" t="s">
        <v>97</v>
      </c>
    </row>
    <row r="59" spans="1:47">
      <c r="C59" s="160" t="s">
        <v>287</v>
      </c>
      <c r="D59" s="160"/>
      <c r="AN59" s="114" t="s">
        <v>380</v>
      </c>
      <c r="AO59" s="120"/>
      <c r="AP59" s="20">
        <v>50</v>
      </c>
      <c r="AQ59" s="20">
        <v>50</v>
      </c>
      <c r="AR59" s="20">
        <v>50</v>
      </c>
      <c r="AS59" s="20">
        <v>50</v>
      </c>
      <c r="AT59" s="20">
        <v>50</v>
      </c>
      <c r="AU59" s="60" t="s">
        <v>97</v>
      </c>
    </row>
    <row r="60" spans="1:47">
      <c r="C60" s="128" t="s">
        <v>286</v>
      </c>
      <c r="D60" s="128" t="s">
        <v>288</v>
      </c>
      <c r="AN60" s="114" t="s">
        <v>324</v>
      </c>
      <c r="AO60" s="120"/>
      <c r="AP60" s="20">
        <v>6</v>
      </c>
      <c r="AQ60" s="20">
        <v>6</v>
      </c>
      <c r="AR60" s="20">
        <v>6</v>
      </c>
      <c r="AS60" s="20">
        <v>6</v>
      </c>
      <c r="AT60" s="20">
        <v>6</v>
      </c>
      <c r="AU60" s="60"/>
    </row>
    <row r="61" spans="1:47">
      <c r="B61" s="2" t="str">
        <f>B35</f>
        <v>LungCancer</v>
      </c>
      <c r="C61" s="127">
        <v>6</v>
      </c>
      <c r="D61" s="127">
        <v>120</v>
      </c>
      <c r="AN61" s="114" t="s">
        <v>333</v>
      </c>
      <c r="AO61" s="120"/>
      <c r="AP61" s="20">
        <v>3</v>
      </c>
      <c r="AQ61" s="20">
        <v>3</v>
      </c>
      <c r="AR61" s="20">
        <v>3</v>
      </c>
      <c r="AS61" s="20">
        <v>3</v>
      </c>
      <c r="AT61" s="20">
        <v>3</v>
      </c>
      <c r="AU61" s="60" t="s">
        <v>97</v>
      </c>
    </row>
    <row r="62" spans="1:47">
      <c r="B62" s="2" t="str">
        <f t="shared" ref="B62:B65" si="0">B36</f>
        <v>COPD</v>
      </c>
      <c r="C62" s="127">
        <v>12</v>
      </c>
      <c r="D62" s="127">
        <v>60</v>
      </c>
      <c r="AJ62" s="2" t="s">
        <v>335</v>
      </c>
      <c r="AN62" s="114" t="s">
        <v>325</v>
      </c>
      <c r="AO62" s="18"/>
      <c r="AP62" s="20">
        <v>0.1</v>
      </c>
      <c r="AQ62" s="20">
        <v>0.1</v>
      </c>
      <c r="AR62" s="20">
        <v>0.1</v>
      </c>
      <c r="AS62" s="20">
        <v>0.1</v>
      </c>
      <c r="AT62" s="20">
        <v>0.1</v>
      </c>
    </row>
    <row r="63" spans="1:47">
      <c r="B63" s="2" t="str">
        <f t="shared" si="0"/>
        <v>MI</v>
      </c>
      <c r="C63" s="127">
        <v>18</v>
      </c>
      <c r="D63" s="127">
        <v>110</v>
      </c>
    </row>
    <row r="64" spans="1:47">
      <c r="B64" s="2" t="str">
        <f t="shared" si="0"/>
        <v>Stroke</v>
      </c>
      <c r="C64" s="127">
        <v>24</v>
      </c>
      <c r="D64" s="127">
        <v>60</v>
      </c>
      <c r="AM64" s="12" t="s">
        <v>334</v>
      </c>
    </row>
    <row r="65" spans="2:52">
      <c r="B65" s="2" t="str">
        <f t="shared" si="0"/>
        <v>OthEvent</v>
      </c>
      <c r="C65" s="127">
        <v>30</v>
      </c>
      <c r="D65" s="127">
        <v>120</v>
      </c>
      <c r="AP65" s="2" t="str">
        <f>AP56</f>
        <v>LungCancer</v>
      </c>
      <c r="AQ65" s="2" t="str">
        <f>AQ56</f>
        <v>COPD</v>
      </c>
      <c r="AR65" s="2" t="str">
        <f>AR56</f>
        <v>MI</v>
      </c>
      <c r="AS65" s="2" t="str">
        <f>AS56</f>
        <v>Stroke</v>
      </c>
      <c r="AT65" s="2" t="str">
        <f>AT56</f>
        <v>OthEvent</v>
      </c>
    </row>
    <row r="66" spans="2:52">
      <c r="AN66" s="114" t="s">
        <v>327</v>
      </c>
      <c r="AP66" s="20">
        <v>6</v>
      </c>
      <c r="AQ66" s="20">
        <v>6</v>
      </c>
      <c r="AR66" s="20">
        <v>6</v>
      </c>
      <c r="AS66" s="20">
        <v>6</v>
      </c>
      <c r="AT66" s="20">
        <v>6</v>
      </c>
      <c r="AU66" s="18"/>
      <c r="AV66" s="18"/>
      <c r="AW66" s="18"/>
      <c r="AX66" s="18"/>
    </row>
    <row r="67" spans="2:52">
      <c r="AN67" s="114" t="s">
        <v>326</v>
      </c>
      <c r="AP67" s="20">
        <v>0.1</v>
      </c>
      <c r="AQ67" s="20">
        <v>0.1</v>
      </c>
      <c r="AR67" s="20">
        <v>0.1</v>
      </c>
      <c r="AS67" s="20">
        <v>0.1</v>
      </c>
      <c r="AT67" s="20">
        <v>0.1</v>
      </c>
      <c r="AU67" s="18"/>
      <c r="AV67" s="18"/>
      <c r="AW67" s="18"/>
      <c r="AX67" s="18"/>
    </row>
    <row r="68" spans="2:52">
      <c r="AU68" s="18"/>
      <c r="AV68" s="18"/>
      <c r="AW68" s="18"/>
      <c r="AX68" s="18"/>
    </row>
    <row r="69" spans="2:52">
      <c r="AM69" s="12" t="s">
        <v>330</v>
      </c>
      <c r="AN69" s="18"/>
      <c r="AO69" s="18"/>
      <c r="AP69" s="18"/>
      <c r="AQ69" s="18"/>
      <c r="AR69" s="18"/>
      <c r="AS69" s="18"/>
      <c r="AT69" s="18"/>
    </row>
    <row r="70" spans="2:52">
      <c r="AN70" s="18"/>
      <c r="AO70" s="18"/>
      <c r="AP70" s="18" t="str">
        <f>AN14</f>
        <v>LungCancer</v>
      </c>
      <c r="AQ70" s="18" t="str">
        <f>AN15</f>
        <v>COPD</v>
      </c>
      <c r="AR70" s="18" t="str">
        <f>AN16</f>
        <v>MI</v>
      </c>
      <c r="AS70" s="18" t="str">
        <f>AN17</f>
        <v>Stroke</v>
      </c>
      <c r="AT70" s="18" t="str">
        <f>AN18</f>
        <v>OthEvent</v>
      </c>
    </row>
    <row r="71" spans="2:52">
      <c r="AN71" s="114" t="s">
        <v>328</v>
      </c>
      <c r="AP71" s="20">
        <v>0.2</v>
      </c>
      <c r="AQ71" s="20">
        <v>0.3</v>
      </c>
      <c r="AR71" s="20">
        <v>0.4</v>
      </c>
      <c r="AS71" s="20">
        <v>0.5</v>
      </c>
      <c r="AT71" s="20">
        <v>0.5</v>
      </c>
    </row>
    <row r="72" spans="2:52">
      <c r="AN72" s="114" t="s">
        <v>329</v>
      </c>
      <c r="AP72" s="20">
        <v>0.2</v>
      </c>
      <c r="AQ72" s="20">
        <v>0.3</v>
      </c>
      <c r="AR72" s="20">
        <v>0.4</v>
      </c>
      <c r="AS72" s="20">
        <v>0.5</v>
      </c>
      <c r="AT72" s="20">
        <v>0.5</v>
      </c>
      <c r="AY72" s="18"/>
      <c r="AZ72" s="60"/>
    </row>
    <row r="73" spans="2:52">
      <c r="AN73" s="114" t="s">
        <v>337</v>
      </c>
      <c r="AP73" s="20">
        <v>0.2</v>
      </c>
      <c r="AQ73" s="20">
        <v>0.3</v>
      </c>
      <c r="AR73" s="20">
        <v>0.4</v>
      </c>
      <c r="AS73" s="20">
        <v>0.5</v>
      </c>
      <c r="AT73" s="20">
        <v>0.5</v>
      </c>
      <c r="AU73" s="18"/>
      <c r="AV73" s="18"/>
      <c r="AW73" s="18"/>
      <c r="AX73" s="18"/>
      <c r="AY73" s="18"/>
    </row>
    <row r="74" spans="2:52">
      <c r="AN74" s="114" t="s">
        <v>339</v>
      </c>
      <c r="AP74" s="20">
        <v>1</v>
      </c>
      <c r="AQ74" s="20">
        <v>2</v>
      </c>
      <c r="AR74" s="20">
        <v>3</v>
      </c>
      <c r="AS74" s="20">
        <v>4</v>
      </c>
      <c r="AT74" s="20">
        <v>5</v>
      </c>
      <c r="AU74" s="60" t="s">
        <v>338</v>
      </c>
      <c r="AV74" s="18"/>
      <c r="AW74" s="18"/>
      <c r="AX74" s="18"/>
    </row>
    <row r="75" spans="2:52">
      <c r="AN75" s="18" t="s">
        <v>336</v>
      </c>
      <c r="AO75" s="120"/>
      <c r="AP75" s="119">
        <v>0</v>
      </c>
      <c r="AQ75" s="119">
        <v>0</v>
      </c>
      <c r="AR75" s="119">
        <v>0</v>
      </c>
      <c r="AS75" s="119">
        <v>0</v>
      </c>
      <c r="AT75" s="118">
        <v>0</v>
      </c>
      <c r="AU75" s="30" t="s">
        <v>42</v>
      </c>
      <c r="AV75" s="18"/>
      <c r="AW75" s="18"/>
      <c r="AX75" s="18"/>
    </row>
    <row r="76" spans="2:52">
      <c r="AN76" s="18"/>
      <c r="AO76" s="120"/>
      <c r="AP76" s="18"/>
      <c r="AQ76" s="18"/>
      <c r="AR76" s="18"/>
    </row>
    <row r="77" spans="2:52">
      <c r="AN77" s="18"/>
      <c r="AO77" s="120"/>
      <c r="AP77" s="18"/>
      <c r="AQ77" s="18"/>
      <c r="AR77" s="18"/>
      <c r="AS77" s="18"/>
      <c r="AT77" s="18"/>
    </row>
    <row r="78" spans="2:52">
      <c r="AN78" s="18"/>
      <c r="AO78" s="120"/>
      <c r="AP78" s="120"/>
      <c r="AQ78" s="120"/>
      <c r="AR78" s="120"/>
      <c r="AS78" s="120"/>
      <c r="AT78" s="18"/>
    </row>
    <row r="79" spans="2:52">
      <c r="AN79" s="18"/>
      <c r="AO79" s="18"/>
      <c r="AP79" s="120"/>
      <c r="AQ79" s="120"/>
      <c r="AR79" s="120"/>
      <c r="AS79" s="120"/>
      <c r="AT79" s="18"/>
      <c r="AU79" s="18"/>
    </row>
    <row r="80" spans="2:52">
      <c r="AN80" s="120"/>
      <c r="AO80" s="120"/>
      <c r="AP80" s="120"/>
      <c r="AQ80" s="120"/>
      <c r="AR80" s="120"/>
      <c r="AS80" s="120"/>
      <c r="AT80" s="18"/>
      <c r="AU80" s="18"/>
    </row>
    <row r="81" spans="40:47">
      <c r="AN81" s="18"/>
      <c r="AO81" s="18"/>
      <c r="AP81" s="120"/>
      <c r="AQ81" s="120"/>
      <c r="AR81" s="120"/>
      <c r="AS81" s="120"/>
      <c r="AT81" s="18"/>
      <c r="AU81" s="18"/>
    </row>
    <row r="82" spans="40:47">
      <c r="AN82" s="18"/>
      <c r="AO82" s="120"/>
      <c r="AP82" s="120"/>
      <c r="AQ82" s="120"/>
      <c r="AR82" s="120"/>
      <c r="AS82" s="120"/>
      <c r="AT82" s="18"/>
      <c r="AU82" s="18"/>
    </row>
    <row r="83" spans="40:47">
      <c r="AN83" s="18"/>
      <c r="AO83" s="120"/>
      <c r="AP83" s="120"/>
      <c r="AQ83" s="120"/>
      <c r="AR83" s="120"/>
      <c r="AS83" s="120"/>
      <c r="AT83" s="18"/>
      <c r="AU83" s="18"/>
    </row>
    <row r="84" spans="40:47">
      <c r="AN84" s="18"/>
      <c r="AO84" s="120"/>
      <c r="AP84" s="120"/>
      <c r="AQ84" s="120"/>
      <c r="AR84" s="120"/>
      <c r="AS84" s="120"/>
      <c r="AT84" s="18"/>
      <c r="AU84" s="18"/>
    </row>
    <row r="85" spans="40:47">
      <c r="AN85" s="18"/>
      <c r="AO85" s="18"/>
      <c r="AP85" s="120"/>
      <c r="AQ85" s="120"/>
      <c r="AR85" s="120"/>
      <c r="AS85" s="120"/>
      <c r="AT85" s="18"/>
      <c r="AU85" s="18"/>
    </row>
    <row r="86" spans="40:47">
      <c r="AN86" s="120"/>
      <c r="AO86" s="120"/>
      <c r="AP86" s="120"/>
      <c r="AQ86" s="120"/>
      <c r="AR86" s="120"/>
      <c r="AS86" s="120"/>
      <c r="AT86" s="18"/>
      <c r="AU86" s="18"/>
    </row>
    <row r="87" spans="40:47">
      <c r="AN87" s="18"/>
      <c r="AO87" s="18"/>
      <c r="AP87" s="120"/>
      <c r="AQ87" s="120"/>
      <c r="AR87" s="120"/>
      <c r="AS87" s="120"/>
      <c r="AT87" s="18"/>
      <c r="AU87" s="18"/>
    </row>
    <row r="88" spans="40:47">
      <c r="AN88" s="18"/>
      <c r="AO88" s="120"/>
      <c r="AP88" s="120"/>
      <c r="AQ88" s="120"/>
      <c r="AR88" s="120"/>
      <c r="AS88" s="120"/>
      <c r="AT88" s="18"/>
      <c r="AU88" s="18"/>
    </row>
    <row r="89" spans="40:47">
      <c r="AN89" s="18"/>
      <c r="AO89" s="120"/>
      <c r="AP89" s="120"/>
      <c r="AQ89" s="120"/>
      <c r="AR89" s="120"/>
      <c r="AS89" s="120"/>
      <c r="AT89" s="18"/>
      <c r="AU89" s="18"/>
    </row>
    <row r="90" spans="40:47">
      <c r="AN90" s="18"/>
      <c r="AO90" s="120"/>
      <c r="AP90" s="120"/>
      <c r="AQ90" s="120"/>
      <c r="AR90" s="120"/>
      <c r="AS90" s="120"/>
    </row>
    <row r="91" spans="40:47">
      <c r="AN91" s="18"/>
      <c r="AO91" s="18"/>
      <c r="AP91" s="18"/>
    </row>
    <row r="92" spans="40:47">
      <c r="AN92" s="120"/>
      <c r="AO92" s="120"/>
      <c r="AP92" s="18"/>
    </row>
    <row r="93" spans="40:47">
      <c r="AN93" s="18"/>
      <c r="AO93" s="18"/>
      <c r="AP93" s="18"/>
    </row>
    <row r="94" spans="40:47">
      <c r="AN94" s="18"/>
      <c r="AO94" s="120"/>
      <c r="AP94" s="120"/>
    </row>
    <row r="95" spans="40:47">
      <c r="AN95" s="18"/>
      <c r="AO95" s="120"/>
      <c r="AP95" s="120"/>
    </row>
    <row r="96" spans="40:47">
      <c r="AN96" s="18"/>
      <c r="AO96" s="120"/>
      <c r="AP96" s="120"/>
    </row>
    <row r="97" spans="40:44">
      <c r="AN97" s="18"/>
      <c r="AO97" s="18"/>
      <c r="AP97" s="18"/>
    </row>
    <row r="98" spans="40:44">
      <c r="AN98" s="18"/>
      <c r="AO98" s="18"/>
      <c r="AP98" s="18"/>
    </row>
    <row r="99" spans="40:44">
      <c r="AN99" s="18"/>
      <c r="AO99" s="18"/>
      <c r="AP99" s="18"/>
    </row>
    <row r="100" spans="40:44">
      <c r="AN100" s="18"/>
      <c r="AO100" s="18"/>
      <c r="AP100" s="18"/>
      <c r="AQ100" s="18"/>
      <c r="AR100" s="18"/>
    </row>
    <row r="101" spans="40:44">
      <c r="AN101" s="18"/>
      <c r="AO101" s="18"/>
      <c r="AP101" s="18"/>
      <c r="AQ101" s="18"/>
      <c r="AR101" s="18"/>
    </row>
    <row r="102" spans="40:44">
      <c r="AN102" s="18"/>
      <c r="AO102" s="18"/>
      <c r="AP102" s="18"/>
      <c r="AQ102" s="18"/>
      <c r="AR102" s="18"/>
    </row>
    <row r="103" spans="40:44">
      <c r="AN103" s="18"/>
      <c r="AO103" s="18"/>
      <c r="AP103" s="18"/>
      <c r="AQ103" s="18"/>
      <c r="AR103" s="18"/>
    </row>
    <row r="104" spans="40:44">
      <c r="AN104" s="18"/>
      <c r="AO104" s="18"/>
      <c r="AP104" s="18"/>
      <c r="AQ104" s="18"/>
      <c r="AR104" s="18"/>
    </row>
    <row r="105" spans="40:44">
      <c r="AN105" s="18"/>
      <c r="AO105" s="18"/>
      <c r="AP105" s="18"/>
      <c r="AQ105" s="18"/>
      <c r="AR105" s="18"/>
    </row>
    <row r="106" spans="40:44">
      <c r="AN106" s="18"/>
      <c r="AO106" s="18"/>
      <c r="AP106" s="18"/>
      <c r="AQ106" s="18"/>
      <c r="AR106" s="18"/>
    </row>
    <row r="107" spans="40:44">
      <c r="AN107" s="18"/>
      <c r="AO107" s="18"/>
      <c r="AP107" s="18"/>
      <c r="AQ107" s="18"/>
      <c r="AR107" s="18"/>
    </row>
    <row r="108" spans="40:44">
      <c r="AN108" s="18"/>
      <c r="AO108" s="18"/>
      <c r="AP108" s="18"/>
      <c r="AQ108" s="18"/>
      <c r="AR108" s="18"/>
    </row>
    <row r="109" spans="40:44">
      <c r="AN109" s="18"/>
      <c r="AO109" s="18"/>
      <c r="AP109" s="18"/>
      <c r="AQ109" s="18"/>
      <c r="AR109" s="18"/>
    </row>
    <row r="110" spans="40:44">
      <c r="AN110" s="18"/>
      <c r="AO110" s="18"/>
      <c r="AP110" s="18"/>
      <c r="AQ110" s="18"/>
      <c r="AR110" s="18"/>
    </row>
  </sheetData>
  <dataValidations count="1">
    <dataValidation type="list" allowBlank="1" showInputMessage="1" showErrorMessage="1" sqref="AP75:AT75">
      <formula1>"0,1"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K75"/>
  <sheetViews>
    <sheetView workbookViewId="0">
      <selection activeCell="E44" sqref="E44"/>
    </sheetView>
  </sheetViews>
  <sheetFormatPr defaultColWidth="9.140625" defaultRowHeight="12.75"/>
  <cols>
    <col min="1" max="1" width="9.140625" style="2"/>
    <col min="2" max="2" width="11.42578125" style="2" bestFit="1" customWidth="1"/>
    <col min="3" max="3" width="9.140625" style="2" customWidth="1"/>
    <col min="4" max="4" width="10" style="2" customWidth="1"/>
    <col min="5" max="18" width="9.140625" style="2"/>
    <col min="19" max="19" width="2.85546875" style="167" customWidth="1"/>
    <col min="20" max="20" width="9.140625" style="2"/>
    <col min="21" max="21" width="11.42578125" style="2" customWidth="1"/>
    <col min="22" max="22" width="11.42578125" style="2" bestFit="1" customWidth="1"/>
    <col min="23" max="23" width="11.85546875" style="2" customWidth="1"/>
    <col min="24" max="24" width="11.42578125" style="2" customWidth="1"/>
    <col min="25" max="16384" width="9.140625" style="2"/>
  </cols>
  <sheetData>
    <row r="1" spans="1:37" s="14" customFormat="1" ht="20.25">
      <c r="A1" s="13" t="s">
        <v>270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N1" s="33"/>
      <c r="O1" s="33"/>
      <c r="P1" s="33"/>
      <c r="Q1" s="13"/>
      <c r="S1" s="166"/>
      <c r="T1" s="13" t="s">
        <v>103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H1" s="33"/>
      <c r="AI1" s="13"/>
    </row>
    <row r="3" spans="1:37">
      <c r="A3" s="12" t="s">
        <v>290</v>
      </c>
      <c r="T3" s="12" t="s">
        <v>307</v>
      </c>
    </row>
    <row r="4" spans="1:37">
      <c r="I4" s="12" t="s">
        <v>22</v>
      </c>
      <c r="AB4" s="12" t="s">
        <v>22</v>
      </c>
    </row>
    <row r="5" spans="1:37">
      <c r="A5" s="2" t="s">
        <v>13</v>
      </c>
      <c r="B5" s="2" t="s">
        <v>22</v>
      </c>
      <c r="C5" s="2" t="s">
        <v>98</v>
      </c>
      <c r="D5" s="2" t="s">
        <v>82</v>
      </c>
      <c r="E5" s="2" t="s">
        <v>83</v>
      </c>
      <c r="F5" s="2" t="s">
        <v>84</v>
      </c>
      <c r="G5" s="2" t="s">
        <v>85</v>
      </c>
      <c r="H5" s="2" t="s">
        <v>86</v>
      </c>
      <c r="I5" s="2" t="s">
        <v>87</v>
      </c>
      <c r="J5" s="2" t="s">
        <v>88</v>
      </c>
      <c r="K5" s="2" t="s">
        <v>89</v>
      </c>
      <c r="L5" s="2" t="s">
        <v>90</v>
      </c>
      <c r="M5" s="2" t="s">
        <v>91</v>
      </c>
      <c r="N5" s="2" t="s">
        <v>92</v>
      </c>
      <c r="O5" s="2" t="s">
        <v>93</v>
      </c>
      <c r="P5" s="2" t="s">
        <v>94</v>
      </c>
      <c r="Q5" s="2" t="s">
        <v>95</v>
      </c>
      <c r="T5" s="2" t="s">
        <v>13</v>
      </c>
      <c r="U5" s="2" t="s">
        <v>22</v>
      </c>
      <c r="V5" s="2" t="s">
        <v>98</v>
      </c>
      <c r="W5" s="2" t="s">
        <v>108</v>
      </c>
      <c r="X5" s="2" t="s">
        <v>83</v>
      </c>
      <c r="Y5" s="2" t="s">
        <v>84</v>
      </c>
      <c r="Z5" s="2" t="s">
        <v>85</v>
      </c>
      <c r="AA5" s="2" t="s">
        <v>86</v>
      </c>
      <c r="AB5" s="2" t="s">
        <v>87</v>
      </c>
      <c r="AC5" s="2" t="s">
        <v>88</v>
      </c>
      <c r="AD5" s="2" t="s">
        <v>89</v>
      </c>
      <c r="AE5" s="2" t="s">
        <v>90</v>
      </c>
      <c r="AF5" s="2" t="s">
        <v>91</v>
      </c>
      <c r="AG5" s="2" t="s">
        <v>92</v>
      </c>
      <c r="AH5" s="2" t="s">
        <v>93</v>
      </c>
      <c r="AI5" s="2" t="s">
        <v>94</v>
      </c>
      <c r="AJ5" s="2" t="s">
        <v>95</v>
      </c>
    </row>
    <row r="6" spans="1:37">
      <c r="B6" s="2" t="str">
        <f>Simulation!B12</f>
        <v>LungCancer</v>
      </c>
      <c r="C6" s="8">
        <v>0.2</v>
      </c>
      <c r="D6" s="8">
        <v>0.2</v>
      </c>
      <c r="E6" s="8">
        <v>0.3</v>
      </c>
      <c r="F6" s="8">
        <v>0.4</v>
      </c>
      <c r="G6" s="8">
        <v>0.5</v>
      </c>
      <c r="H6" s="8">
        <v>0.7</v>
      </c>
      <c r="I6" s="8">
        <v>0.9</v>
      </c>
      <c r="J6" s="8">
        <v>0.9</v>
      </c>
      <c r="K6" s="8">
        <v>0.9</v>
      </c>
      <c r="L6" s="8">
        <v>0.9</v>
      </c>
      <c r="M6" s="8">
        <v>0.9</v>
      </c>
      <c r="N6" s="8">
        <v>0.9</v>
      </c>
      <c r="O6" s="8">
        <v>0.9</v>
      </c>
      <c r="P6" s="8">
        <v>0.9</v>
      </c>
      <c r="Q6" s="8">
        <v>0.9</v>
      </c>
      <c r="U6" s="2" t="str">
        <f>B6</f>
        <v>LungCancer</v>
      </c>
      <c r="V6" s="8">
        <v>0.2</v>
      </c>
      <c r="W6" s="8">
        <v>0.2</v>
      </c>
      <c r="X6" s="8">
        <v>0.3</v>
      </c>
      <c r="Y6" s="8">
        <v>0.4</v>
      </c>
      <c r="Z6" s="8">
        <v>0.5</v>
      </c>
      <c r="AA6" s="8">
        <v>0.7</v>
      </c>
      <c r="AB6" s="8">
        <v>0.9</v>
      </c>
      <c r="AC6" s="8">
        <v>0.9</v>
      </c>
      <c r="AD6" s="8">
        <v>0.9</v>
      </c>
      <c r="AE6" s="8">
        <v>0.9</v>
      </c>
      <c r="AF6" s="8">
        <v>0.9</v>
      </c>
      <c r="AG6" s="8">
        <v>0.9</v>
      </c>
      <c r="AH6" s="8">
        <v>0.9</v>
      </c>
      <c r="AI6" s="8">
        <v>0.9</v>
      </c>
      <c r="AJ6" s="8">
        <v>0.9</v>
      </c>
    </row>
    <row r="7" spans="1:37">
      <c r="B7" s="2" t="str">
        <f>Simulation!B13</f>
        <v>COPD</v>
      </c>
      <c r="C7" s="8">
        <v>0.2</v>
      </c>
      <c r="D7" s="8">
        <v>0.2</v>
      </c>
      <c r="E7" s="8">
        <v>0.3</v>
      </c>
      <c r="F7" s="8">
        <v>0.4</v>
      </c>
      <c r="G7" s="8">
        <v>0.5</v>
      </c>
      <c r="H7" s="8">
        <v>0.7</v>
      </c>
      <c r="I7" s="8">
        <v>0.9</v>
      </c>
      <c r="J7" s="8">
        <v>0.9</v>
      </c>
      <c r="K7" s="8">
        <v>0.9</v>
      </c>
      <c r="L7" s="8">
        <v>0.9</v>
      </c>
      <c r="M7" s="8">
        <v>0.9</v>
      </c>
      <c r="N7" s="8">
        <v>0.9</v>
      </c>
      <c r="O7" s="8">
        <v>0.9</v>
      </c>
      <c r="P7" s="8">
        <v>0.9</v>
      </c>
      <c r="Q7" s="8">
        <v>0.9</v>
      </c>
      <c r="U7" s="2" t="str">
        <f>B7</f>
        <v>COPD</v>
      </c>
      <c r="V7" s="8">
        <v>0.2</v>
      </c>
      <c r="W7" s="8">
        <v>0.2</v>
      </c>
      <c r="X7" s="8">
        <v>0.3</v>
      </c>
      <c r="Y7" s="8">
        <v>0.4</v>
      </c>
      <c r="Z7" s="8">
        <v>0.5</v>
      </c>
      <c r="AA7" s="8">
        <v>0.7</v>
      </c>
      <c r="AB7" s="8">
        <v>0.9</v>
      </c>
      <c r="AC7" s="8">
        <v>0.9</v>
      </c>
      <c r="AD7" s="8">
        <v>0.9</v>
      </c>
      <c r="AE7" s="8">
        <v>0.9</v>
      </c>
      <c r="AF7" s="8">
        <v>0.9</v>
      </c>
      <c r="AG7" s="8">
        <v>0.9</v>
      </c>
      <c r="AH7" s="8">
        <v>0.9</v>
      </c>
      <c r="AI7" s="8">
        <v>0.9</v>
      </c>
      <c r="AJ7" s="8">
        <v>0.9</v>
      </c>
    </row>
    <row r="8" spans="1:37">
      <c r="B8" s="2" t="str">
        <f>Simulation!B14</f>
        <v>MI</v>
      </c>
      <c r="C8" s="8">
        <v>0.2</v>
      </c>
      <c r="D8" s="8">
        <v>0.2</v>
      </c>
      <c r="E8" s="8">
        <v>0.3</v>
      </c>
      <c r="F8" s="8">
        <v>0.4</v>
      </c>
      <c r="G8" s="8">
        <v>0.5</v>
      </c>
      <c r="H8" s="8">
        <v>0.7</v>
      </c>
      <c r="I8" s="8">
        <v>0.9</v>
      </c>
      <c r="J8" s="8">
        <v>0.9</v>
      </c>
      <c r="K8" s="8">
        <v>0.9</v>
      </c>
      <c r="L8" s="8">
        <v>0.9</v>
      </c>
      <c r="M8" s="8">
        <v>0.9</v>
      </c>
      <c r="N8" s="8">
        <v>0.9</v>
      </c>
      <c r="O8" s="8">
        <v>0.9</v>
      </c>
      <c r="P8" s="8">
        <v>0.9</v>
      </c>
      <c r="Q8" s="8">
        <v>0.9</v>
      </c>
      <c r="U8" s="2" t="str">
        <f>B8</f>
        <v>MI</v>
      </c>
      <c r="V8" s="8">
        <v>0.2</v>
      </c>
      <c r="W8" s="8">
        <v>0.2</v>
      </c>
      <c r="X8" s="8">
        <v>0.3</v>
      </c>
      <c r="Y8" s="8">
        <v>0.4</v>
      </c>
      <c r="Z8" s="8">
        <v>0.5</v>
      </c>
      <c r="AA8" s="8">
        <v>0.7</v>
      </c>
      <c r="AB8" s="8">
        <v>0.9</v>
      </c>
      <c r="AC8" s="8">
        <v>0.9</v>
      </c>
      <c r="AD8" s="8">
        <v>0.9</v>
      </c>
      <c r="AE8" s="8">
        <v>0.9</v>
      </c>
      <c r="AF8" s="8">
        <v>0.9</v>
      </c>
      <c r="AG8" s="8">
        <v>0.9</v>
      </c>
      <c r="AH8" s="8">
        <v>0.9</v>
      </c>
      <c r="AI8" s="8">
        <v>0.9</v>
      </c>
      <c r="AJ8" s="8">
        <v>0.9</v>
      </c>
    </row>
    <row r="9" spans="1:37">
      <c r="B9" s="2" t="str">
        <f>Simulation!B15</f>
        <v>Stroke</v>
      </c>
      <c r="C9" s="8">
        <v>0.2</v>
      </c>
      <c r="D9" s="8">
        <v>0.2</v>
      </c>
      <c r="E9" s="8">
        <v>0.3</v>
      </c>
      <c r="F9" s="8">
        <v>0.4</v>
      </c>
      <c r="G9" s="8">
        <v>0.5</v>
      </c>
      <c r="H9" s="8">
        <v>0.7</v>
      </c>
      <c r="I9" s="8">
        <v>0.9</v>
      </c>
      <c r="J9" s="8">
        <v>0.9</v>
      </c>
      <c r="K9" s="8">
        <v>0.9</v>
      </c>
      <c r="L9" s="8">
        <v>0.9</v>
      </c>
      <c r="M9" s="8">
        <v>0.9</v>
      </c>
      <c r="N9" s="8">
        <v>0.9</v>
      </c>
      <c r="O9" s="8">
        <v>0.9</v>
      </c>
      <c r="P9" s="8">
        <v>0.9</v>
      </c>
      <c r="Q9" s="8">
        <v>0.9</v>
      </c>
      <c r="U9" s="2" t="str">
        <f>B9</f>
        <v>Stroke</v>
      </c>
      <c r="V9" s="8">
        <v>0.2</v>
      </c>
      <c r="W9" s="8">
        <v>0.2</v>
      </c>
      <c r="X9" s="8">
        <v>0.3</v>
      </c>
      <c r="Y9" s="8">
        <v>0.4</v>
      </c>
      <c r="Z9" s="8">
        <v>0.5</v>
      </c>
      <c r="AA9" s="8">
        <v>0.7</v>
      </c>
      <c r="AB9" s="8">
        <v>0.9</v>
      </c>
      <c r="AC9" s="8">
        <v>0.9</v>
      </c>
      <c r="AD9" s="8">
        <v>0.9</v>
      </c>
      <c r="AE9" s="8">
        <v>0.9</v>
      </c>
      <c r="AF9" s="8">
        <v>0.9</v>
      </c>
      <c r="AG9" s="8">
        <v>0.9</v>
      </c>
      <c r="AH9" s="8">
        <v>0.9</v>
      </c>
      <c r="AI9" s="8">
        <v>0.9</v>
      </c>
      <c r="AJ9" s="8">
        <v>0.9</v>
      </c>
    </row>
    <row r="10" spans="1:37">
      <c r="B10" s="2" t="str">
        <f>Simulation!B16</f>
        <v>OthEvent</v>
      </c>
      <c r="C10" s="8">
        <v>0.2</v>
      </c>
      <c r="D10" s="8">
        <v>0.2</v>
      </c>
      <c r="E10" s="8">
        <v>0.3</v>
      </c>
      <c r="F10" s="8">
        <v>0.4</v>
      </c>
      <c r="G10" s="8">
        <v>0.5</v>
      </c>
      <c r="H10" s="8">
        <v>0.7</v>
      </c>
      <c r="I10" s="8">
        <v>0.9</v>
      </c>
      <c r="J10" s="8">
        <v>0.9</v>
      </c>
      <c r="K10" s="8">
        <v>0.9</v>
      </c>
      <c r="L10" s="8">
        <v>0.9</v>
      </c>
      <c r="M10" s="8">
        <v>0.9</v>
      </c>
      <c r="N10" s="8">
        <v>0.9</v>
      </c>
      <c r="O10" s="8">
        <v>0.9</v>
      </c>
      <c r="P10" s="8">
        <v>0.9</v>
      </c>
      <c r="Q10" s="8">
        <v>0.9</v>
      </c>
      <c r="U10" s="2" t="str">
        <f>B10</f>
        <v>OthEvent</v>
      </c>
      <c r="V10" s="8">
        <v>0.2</v>
      </c>
      <c r="W10" s="8">
        <v>0.2</v>
      </c>
      <c r="X10" s="8">
        <v>0.3</v>
      </c>
      <c r="Y10" s="8">
        <v>0.4</v>
      </c>
      <c r="Z10" s="8">
        <v>0.5</v>
      </c>
      <c r="AA10" s="8">
        <v>0.7</v>
      </c>
      <c r="AB10" s="8">
        <v>0.9</v>
      </c>
      <c r="AC10" s="8">
        <v>0.9</v>
      </c>
      <c r="AD10" s="8">
        <v>0.9</v>
      </c>
      <c r="AE10" s="8">
        <v>0.9</v>
      </c>
      <c r="AF10" s="8">
        <v>0.9</v>
      </c>
      <c r="AG10" s="8">
        <v>0.9</v>
      </c>
      <c r="AH10" s="8">
        <v>0.9</v>
      </c>
      <c r="AI10" s="8">
        <v>0.9</v>
      </c>
      <c r="AJ10" s="8">
        <v>0.9</v>
      </c>
    </row>
    <row r="12" spans="1:37">
      <c r="I12" s="12" t="s">
        <v>22</v>
      </c>
      <c r="AB12" s="12" t="s">
        <v>22</v>
      </c>
    </row>
    <row r="13" spans="1:37">
      <c r="A13" s="2" t="s">
        <v>12</v>
      </c>
      <c r="B13" s="2" t="s">
        <v>22</v>
      </c>
      <c r="C13" s="2" t="s">
        <v>98</v>
      </c>
      <c r="D13" s="2" t="s">
        <v>108</v>
      </c>
      <c r="E13" s="2" t="s">
        <v>83</v>
      </c>
      <c r="F13" s="2" t="s">
        <v>84</v>
      </c>
      <c r="G13" s="2" t="s">
        <v>85</v>
      </c>
      <c r="H13" s="2" t="s">
        <v>86</v>
      </c>
      <c r="I13" s="2" t="s">
        <v>87</v>
      </c>
      <c r="J13" s="2" t="s">
        <v>88</v>
      </c>
      <c r="K13" s="2" t="s">
        <v>89</v>
      </c>
      <c r="L13" s="2" t="s">
        <v>90</v>
      </c>
      <c r="M13" s="2" t="s">
        <v>91</v>
      </c>
      <c r="N13" s="2" t="s">
        <v>92</v>
      </c>
      <c r="O13" s="2" t="s">
        <v>93</v>
      </c>
      <c r="P13" s="2" t="s">
        <v>94</v>
      </c>
      <c r="Q13" s="2" t="s">
        <v>95</v>
      </c>
      <c r="T13" s="2" t="s">
        <v>12</v>
      </c>
      <c r="U13" s="2" t="s">
        <v>22</v>
      </c>
      <c r="V13" s="2" t="s">
        <v>98</v>
      </c>
      <c r="W13" s="2" t="s">
        <v>108</v>
      </c>
      <c r="X13" s="2" t="s">
        <v>83</v>
      </c>
      <c r="Y13" s="2" t="s">
        <v>84</v>
      </c>
      <c r="Z13" s="2" t="s">
        <v>85</v>
      </c>
      <c r="AA13" s="2" t="s">
        <v>86</v>
      </c>
      <c r="AB13" s="2" t="s">
        <v>87</v>
      </c>
      <c r="AC13" s="2" t="s">
        <v>88</v>
      </c>
      <c r="AD13" s="2" t="s">
        <v>89</v>
      </c>
      <c r="AE13" s="2" t="s">
        <v>90</v>
      </c>
      <c r="AF13" s="2" t="s">
        <v>91</v>
      </c>
      <c r="AG13" s="2" t="s">
        <v>92</v>
      </c>
      <c r="AH13" s="2" t="s">
        <v>93</v>
      </c>
      <c r="AI13" s="2" t="s">
        <v>94</v>
      </c>
      <c r="AJ13" s="2" t="s">
        <v>95</v>
      </c>
    </row>
    <row r="14" spans="1:37">
      <c r="B14" s="2" t="str">
        <f>Simulation!B12</f>
        <v>LungCancer</v>
      </c>
      <c r="C14" s="8">
        <v>0.2</v>
      </c>
      <c r="D14" s="8">
        <v>0.2</v>
      </c>
      <c r="E14" s="8">
        <v>0.3</v>
      </c>
      <c r="F14" s="8">
        <v>0.4</v>
      </c>
      <c r="G14" s="8">
        <v>0.5</v>
      </c>
      <c r="H14" s="8">
        <v>0.7</v>
      </c>
      <c r="I14" s="8">
        <v>0.9</v>
      </c>
      <c r="J14" s="8">
        <v>0.9</v>
      </c>
      <c r="K14" s="8">
        <v>0.9</v>
      </c>
      <c r="L14" s="8">
        <v>0.9</v>
      </c>
      <c r="M14" s="8">
        <v>0.9</v>
      </c>
      <c r="N14" s="8">
        <v>0.9</v>
      </c>
      <c r="O14" s="8">
        <v>0.9</v>
      </c>
      <c r="P14" s="8">
        <v>0.9</v>
      </c>
      <c r="Q14" s="8">
        <v>0.9</v>
      </c>
      <c r="U14" s="2" t="str">
        <f>B14</f>
        <v>LungCancer</v>
      </c>
      <c r="V14" s="8">
        <v>0.2</v>
      </c>
      <c r="W14" s="8">
        <v>0.2</v>
      </c>
      <c r="X14" s="8">
        <v>0.3</v>
      </c>
      <c r="Y14" s="8">
        <v>0.4</v>
      </c>
      <c r="Z14" s="8">
        <v>0.5</v>
      </c>
      <c r="AA14" s="8">
        <v>0.7</v>
      </c>
      <c r="AB14" s="8">
        <v>0.9</v>
      </c>
      <c r="AC14" s="8">
        <v>0.9</v>
      </c>
      <c r="AD14" s="8">
        <v>0.9</v>
      </c>
      <c r="AE14" s="8">
        <v>0.9</v>
      </c>
      <c r="AF14" s="8">
        <v>0.9</v>
      </c>
      <c r="AG14" s="8">
        <v>0.9</v>
      </c>
      <c r="AH14" s="8">
        <v>0.9</v>
      </c>
      <c r="AI14" s="8">
        <v>0.9</v>
      </c>
      <c r="AJ14" s="8">
        <v>0.9</v>
      </c>
      <c r="AK14" s="19"/>
    </row>
    <row r="15" spans="1:37">
      <c r="B15" s="2" t="str">
        <f>Simulation!B13</f>
        <v>COPD</v>
      </c>
      <c r="C15" s="8">
        <v>0.2</v>
      </c>
      <c r="D15" s="8">
        <v>0.2</v>
      </c>
      <c r="E15" s="8">
        <v>0.3</v>
      </c>
      <c r="F15" s="8">
        <v>0.4</v>
      </c>
      <c r="G15" s="8">
        <v>0.5</v>
      </c>
      <c r="H15" s="8">
        <v>0.7</v>
      </c>
      <c r="I15" s="8">
        <v>0.9</v>
      </c>
      <c r="J15" s="8">
        <v>0.9</v>
      </c>
      <c r="K15" s="8">
        <v>0.9</v>
      </c>
      <c r="L15" s="8">
        <v>0.9</v>
      </c>
      <c r="M15" s="8">
        <v>0.9</v>
      </c>
      <c r="N15" s="8">
        <v>0.9</v>
      </c>
      <c r="O15" s="8">
        <v>0.9</v>
      </c>
      <c r="P15" s="8">
        <v>0.9</v>
      </c>
      <c r="Q15" s="8">
        <v>0.9</v>
      </c>
      <c r="U15" s="2" t="str">
        <f>B15</f>
        <v>COPD</v>
      </c>
      <c r="V15" s="8">
        <v>0.2</v>
      </c>
      <c r="W15" s="8">
        <v>0.2</v>
      </c>
      <c r="X15" s="8">
        <v>0.3</v>
      </c>
      <c r="Y15" s="8">
        <v>0.4</v>
      </c>
      <c r="Z15" s="8">
        <v>0.5</v>
      </c>
      <c r="AA15" s="8">
        <v>0.7</v>
      </c>
      <c r="AB15" s="8">
        <v>0.9</v>
      </c>
      <c r="AC15" s="8">
        <v>0.9</v>
      </c>
      <c r="AD15" s="8">
        <v>0.9</v>
      </c>
      <c r="AE15" s="8">
        <v>0.9</v>
      </c>
      <c r="AF15" s="8">
        <v>0.9</v>
      </c>
      <c r="AG15" s="8">
        <v>0.9</v>
      </c>
      <c r="AH15" s="8">
        <v>0.9</v>
      </c>
      <c r="AI15" s="8">
        <v>0.9</v>
      </c>
      <c r="AJ15" s="8">
        <v>0.9</v>
      </c>
    </row>
    <row r="16" spans="1:37">
      <c r="B16" s="2" t="str">
        <f>Simulation!B14</f>
        <v>MI</v>
      </c>
      <c r="C16" s="8">
        <v>0.2</v>
      </c>
      <c r="D16" s="8">
        <v>0.2</v>
      </c>
      <c r="E16" s="8">
        <v>0.3</v>
      </c>
      <c r="F16" s="8">
        <v>0.4</v>
      </c>
      <c r="G16" s="8">
        <v>0.5</v>
      </c>
      <c r="H16" s="8">
        <v>0.7</v>
      </c>
      <c r="I16" s="8">
        <v>0.9</v>
      </c>
      <c r="J16" s="8">
        <v>0.9</v>
      </c>
      <c r="K16" s="8">
        <v>0.9</v>
      </c>
      <c r="L16" s="8">
        <v>0.9</v>
      </c>
      <c r="M16" s="8">
        <v>0.9</v>
      </c>
      <c r="N16" s="8">
        <v>0.9</v>
      </c>
      <c r="O16" s="8">
        <v>0.9</v>
      </c>
      <c r="P16" s="8">
        <v>0.9</v>
      </c>
      <c r="Q16" s="8">
        <v>0.9</v>
      </c>
      <c r="U16" s="2" t="str">
        <f>B16</f>
        <v>MI</v>
      </c>
      <c r="V16" s="8">
        <v>0.2</v>
      </c>
      <c r="W16" s="8">
        <v>0.2</v>
      </c>
      <c r="X16" s="8">
        <v>0.3</v>
      </c>
      <c r="Y16" s="8">
        <v>0.4</v>
      </c>
      <c r="Z16" s="8">
        <v>0.5</v>
      </c>
      <c r="AA16" s="8">
        <v>0.7</v>
      </c>
      <c r="AB16" s="8">
        <v>0.9</v>
      </c>
      <c r="AC16" s="8">
        <v>0.9</v>
      </c>
      <c r="AD16" s="8">
        <v>0.9</v>
      </c>
      <c r="AE16" s="8">
        <v>0.9</v>
      </c>
      <c r="AF16" s="8">
        <v>0.9</v>
      </c>
      <c r="AG16" s="8">
        <v>0.9</v>
      </c>
      <c r="AH16" s="8">
        <v>0.9</v>
      </c>
      <c r="AI16" s="8">
        <v>0.9</v>
      </c>
      <c r="AJ16" s="8">
        <v>0.9</v>
      </c>
    </row>
    <row r="17" spans="1:37">
      <c r="B17" s="2" t="str">
        <f>Simulation!B15</f>
        <v>Stroke</v>
      </c>
      <c r="C17" s="8">
        <v>0.2</v>
      </c>
      <c r="D17" s="8">
        <v>0.2</v>
      </c>
      <c r="E17" s="8">
        <v>0.3</v>
      </c>
      <c r="F17" s="8">
        <v>0.4</v>
      </c>
      <c r="G17" s="8">
        <v>0.5</v>
      </c>
      <c r="H17" s="8">
        <v>0.7</v>
      </c>
      <c r="I17" s="8">
        <v>0.9</v>
      </c>
      <c r="J17" s="8">
        <v>0.9</v>
      </c>
      <c r="K17" s="8">
        <v>0.9</v>
      </c>
      <c r="L17" s="8">
        <v>0.9</v>
      </c>
      <c r="M17" s="8">
        <v>0.9</v>
      </c>
      <c r="N17" s="8">
        <v>0.9</v>
      </c>
      <c r="O17" s="8">
        <v>0.9</v>
      </c>
      <c r="P17" s="8">
        <v>0.9</v>
      </c>
      <c r="Q17" s="8">
        <v>0.9</v>
      </c>
      <c r="U17" s="2" t="str">
        <f>B17</f>
        <v>Stroke</v>
      </c>
      <c r="V17" s="8">
        <v>0.2</v>
      </c>
      <c r="W17" s="8">
        <v>0.2</v>
      </c>
      <c r="X17" s="8">
        <v>0.3</v>
      </c>
      <c r="Y17" s="8">
        <v>0.4</v>
      </c>
      <c r="Z17" s="8">
        <v>0.5</v>
      </c>
      <c r="AA17" s="8">
        <v>0.7</v>
      </c>
      <c r="AB17" s="8">
        <v>0.9</v>
      </c>
      <c r="AC17" s="8">
        <v>0.9</v>
      </c>
      <c r="AD17" s="8">
        <v>0.9</v>
      </c>
      <c r="AE17" s="8">
        <v>0.9</v>
      </c>
      <c r="AF17" s="8">
        <v>0.9</v>
      </c>
      <c r="AG17" s="8">
        <v>0.9</v>
      </c>
      <c r="AH17" s="8">
        <v>0.9</v>
      </c>
      <c r="AI17" s="8">
        <v>0.9</v>
      </c>
      <c r="AJ17" s="8">
        <v>0.9</v>
      </c>
    </row>
    <row r="18" spans="1:37">
      <c r="B18" s="2" t="str">
        <f>Simulation!B16</f>
        <v>OthEvent</v>
      </c>
      <c r="C18" s="8">
        <v>0.2</v>
      </c>
      <c r="D18" s="8">
        <v>0.2</v>
      </c>
      <c r="E18" s="8">
        <v>0.3</v>
      </c>
      <c r="F18" s="8">
        <v>0.4</v>
      </c>
      <c r="G18" s="8">
        <v>0.5</v>
      </c>
      <c r="H18" s="8">
        <v>0.7</v>
      </c>
      <c r="I18" s="8">
        <v>0.9</v>
      </c>
      <c r="J18" s="8">
        <v>0.9</v>
      </c>
      <c r="K18" s="8">
        <v>0.9</v>
      </c>
      <c r="L18" s="8">
        <v>0.9</v>
      </c>
      <c r="M18" s="8">
        <v>0.9</v>
      </c>
      <c r="N18" s="8">
        <v>0.9</v>
      </c>
      <c r="O18" s="8">
        <v>0.9</v>
      </c>
      <c r="P18" s="8">
        <v>0.9</v>
      </c>
      <c r="Q18" s="8">
        <v>0.9</v>
      </c>
      <c r="U18" s="2" t="str">
        <f>B18</f>
        <v>OthEvent</v>
      </c>
      <c r="V18" s="8">
        <v>0.2</v>
      </c>
      <c r="W18" s="8">
        <v>0.2</v>
      </c>
      <c r="X18" s="8">
        <v>0.3</v>
      </c>
      <c r="Y18" s="8">
        <v>0.4</v>
      </c>
      <c r="Z18" s="8">
        <v>0.5</v>
      </c>
      <c r="AA18" s="8">
        <v>0.7</v>
      </c>
      <c r="AB18" s="8">
        <v>0.9</v>
      </c>
      <c r="AC18" s="8">
        <v>0.9</v>
      </c>
      <c r="AD18" s="8">
        <v>0.9</v>
      </c>
      <c r="AE18" s="8">
        <v>0.9</v>
      </c>
      <c r="AF18" s="8">
        <v>0.9</v>
      </c>
      <c r="AG18" s="8">
        <v>0.9</v>
      </c>
      <c r="AH18" s="8">
        <v>0.9</v>
      </c>
      <c r="AI18" s="8">
        <v>0.9</v>
      </c>
      <c r="AJ18" s="8">
        <v>0.9</v>
      </c>
    </row>
    <row r="19" spans="1:37">
      <c r="Q19" s="19"/>
    </row>
    <row r="20" spans="1:37">
      <c r="Q20" s="19"/>
    </row>
    <row r="21" spans="1:37">
      <c r="A21" s="12" t="s">
        <v>284</v>
      </c>
      <c r="Q21" s="19"/>
      <c r="T21" s="12" t="s">
        <v>113</v>
      </c>
    </row>
    <row r="22" spans="1:37">
      <c r="Q22" s="19"/>
      <c r="AK22" s="19"/>
    </row>
    <row r="23" spans="1:37">
      <c r="C23" s="66" t="s">
        <v>15</v>
      </c>
      <c r="D23" s="66" t="s">
        <v>16</v>
      </c>
      <c r="E23" s="67" t="s">
        <v>17</v>
      </c>
      <c r="Q23" s="19"/>
      <c r="U23" s="36"/>
      <c r="V23" s="66" t="s">
        <v>15</v>
      </c>
      <c r="W23" s="66" t="s">
        <v>16</v>
      </c>
      <c r="X23" s="67" t="s">
        <v>17</v>
      </c>
      <c r="AK23" s="19"/>
    </row>
    <row r="24" spans="1:37">
      <c r="B24" s="2" t="str">
        <f>Simulation!B12</f>
        <v>LungCancer</v>
      </c>
      <c r="C24" s="8">
        <v>1.3</v>
      </c>
      <c r="D24" s="8">
        <v>1.8</v>
      </c>
      <c r="E24" s="39">
        <v>2</v>
      </c>
      <c r="U24" s="2" t="str">
        <f>B24</f>
        <v>LungCancer</v>
      </c>
      <c r="V24" s="8">
        <v>1.3</v>
      </c>
      <c r="W24" s="8">
        <v>1.8</v>
      </c>
      <c r="X24" s="39">
        <v>2</v>
      </c>
    </row>
    <row r="25" spans="1:37">
      <c r="B25" s="2" t="str">
        <f>Simulation!B13</f>
        <v>COPD</v>
      </c>
      <c r="C25" s="8">
        <v>1.3</v>
      </c>
      <c r="D25" s="8">
        <v>1.8</v>
      </c>
      <c r="E25" s="39">
        <v>2</v>
      </c>
      <c r="U25" s="2" t="str">
        <f>B25</f>
        <v>COPD</v>
      </c>
      <c r="V25" s="8">
        <v>1.3</v>
      </c>
      <c r="W25" s="8">
        <v>1.8</v>
      </c>
      <c r="X25" s="39">
        <v>2</v>
      </c>
    </row>
    <row r="26" spans="1:37">
      <c r="B26" s="2" t="str">
        <f>Simulation!B14</f>
        <v>MI</v>
      </c>
      <c r="C26" s="8">
        <v>1.3</v>
      </c>
      <c r="D26" s="8">
        <v>1.8</v>
      </c>
      <c r="E26" s="39">
        <v>2</v>
      </c>
      <c r="U26" s="2" t="str">
        <f>B26</f>
        <v>MI</v>
      </c>
      <c r="V26" s="8">
        <v>1.3</v>
      </c>
      <c r="W26" s="8">
        <v>1.8</v>
      </c>
      <c r="X26" s="39">
        <v>2</v>
      </c>
    </row>
    <row r="27" spans="1:37">
      <c r="B27" s="2" t="str">
        <f>Simulation!B15</f>
        <v>Stroke</v>
      </c>
      <c r="C27" s="8">
        <v>1.3</v>
      </c>
      <c r="D27" s="8">
        <v>1.8</v>
      </c>
      <c r="E27" s="39">
        <v>2</v>
      </c>
      <c r="F27" s="66"/>
      <c r="G27" s="66"/>
      <c r="H27" s="66"/>
      <c r="I27" s="66"/>
      <c r="L27" s="66"/>
      <c r="M27" s="66"/>
      <c r="N27" s="66"/>
      <c r="O27" s="66"/>
      <c r="P27" s="66"/>
      <c r="U27" s="2" t="str">
        <f>B27</f>
        <v>Stroke</v>
      </c>
      <c r="V27" s="8">
        <v>1.3</v>
      </c>
      <c r="W27" s="8">
        <v>1.8</v>
      </c>
      <c r="X27" s="39">
        <v>2</v>
      </c>
      <c r="AA27" s="66"/>
      <c r="AB27" s="66"/>
      <c r="AC27" s="66"/>
      <c r="AF27" s="66"/>
      <c r="AG27" s="66"/>
      <c r="AH27" s="66"/>
    </row>
    <row r="28" spans="1:37">
      <c r="B28" s="2" t="str">
        <f>Simulation!B16</f>
        <v>OthEvent</v>
      </c>
      <c r="C28" s="8">
        <v>1.3</v>
      </c>
      <c r="D28" s="8">
        <v>1.8</v>
      </c>
      <c r="E28" s="39">
        <v>2</v>
      </c>
      <c r="F28" s="19"/>
      <c r="G28" s="19"/>
      <c r="H28" s="19"/>
      <c r="I28" s="19"/>
      <c r="L28" s="19"/>
      <c r="M28" s="19"/>
      <c r="N28" s="19"/>
      <c r="O28" s="19"/>
      <c r="P28" s="19"/>
      <c r="U28" s="2" t="str">
        <f>B28</f>
        <v>OthEvent</v>
      </c>
      <c r="V28" s="8">
        <v>1.3</v>
      </c>
      <c r="W28" s="8">
        <v>1.8</v>
      </c>
      <c r="X28" s="39">
        <v>2</v>
      </c>
      <c r="Z28" s="66"/>
      <c r="AA28" s="19"/>
      <c r="AB28" s="19"/>
      <c r="AC28" s="19"/>
      <c r="AF28" s="19"/>
      <c r="AG28" s="19"/>
      <c r="AH28" s="19"/>
    </row>
    <row r="29" spans="1:37">
      <c r="F29" s="19"/>
      <c r="G29" s="19"/>
      <c r="H29" s="19"/>
      <c r="I29" s="19"/>
      <c r="L29" s="19"/>
      <c r="M29" s="19"/>
      <c r="N29" s="19"/>
      <c r="O29" s="19"/>
      <c r="P29" s="19"/>
      <c r="Z29" s="19"/>
      <c r="AA29" s="19"/>
      <c r="AB29" s="19"/>
      <c r="AC29" s="19"/>
      <c r="AF29" s="19"/>
      <c r="AG29" s="19"/>
      <c r="AH29" s="19"/>
    </row>
    <row r="30" spans="1:37">
      <c r="F30" s="19"/>
      <c r="G30" s="19"/>
      <c r="H30" s="19"/>
      <c r="I30" s="19"/>
      <c r="L30" s="19"/>
      <c r="M30" s="19"/>
      <c r="N30" s="19"/>
      <c r="O30" s="19"/>
      <c r="P30" s="19"/>
      <c r="Z30" s="19"/>
      <c r="AA30" s="19"/>
      <c r="AB30" s="19"/>
      <c r="AC30" s="19"/>
      <c r="AF30" s="19"/>
      <c r="AG30" s="19"/>
      <c r="AH30" s="19"/>
    </row>
    <row r="31" spans="1:37">
      <c r="A31" s="12" t="s">
        <v>285</v>
      </c>
      <c r="F31" s="19"/>
      <c r="G31" s="19"/>
      <c r="H31" s="19"/>
      <c r="I31" s="19"/>
      <c r="L31" s="19"/>
      <c r="M31" s="19"/>
      <c r="N31" s="19"/>
      <c r="O31" s="19"/>
      <c r="P31" s="19"/>
      <c r="T31" s="12" t="s">
        <v>285</v>
      </c>
      <c r="Z31" s="19"/>
      <c r="AA31" s="19"/>
      <c r="AB31" s="19"/>
      <c r="AC31" s="19"/>
      <c r="AF31" s="19"/>
      <c r="AG31" s="19"/>
      <c r="AH31" s="19"/>
    </row>
    <row r="32" spans="1:37">
      <c r="F32" s="19"/>
      <c r="G32" s="19"/>
      <c r="H32" s="19"/>
      <c r="I32" s="19"/>
      <c r="L32" s="19"/>
      <c r="M32" s="19"/>
      <c r="N32" s="19"/>
      <c r="O32" s="19"/>
      <c r="P32" s="19"/>
      <c r="Z32" s="19"/>
      <c r="AA32" s="19"/>
      <c r="AB32" s="19"/>
      <c r="AC32" s="19"/>
      <c r="AF32" s="19"/>
      <c r="AG32" s="19"/>
      <c r="AH32" s="19"/>
    </row>
    <row r="33" spans="2:37">
      <c r="G33" s="12"/>
      <c r="I33" s="12" t="s">
        <v>112</v>
      </c>
      <c r="AA33" s="12" t="s">
        <v>112</v>
      </c>
    </row>
    <row r="34" spans="2:37">
      <c r="B34" s="12" t="s">
        <v>15</v>
      </c>
      <c r="C34" s="2" t="s">
        <v>98</v>
      </c>
      <c r="D34" s="2" t="s">
        <v>108</v>
      </c>
      <c r="E34" s="2" t="s">
        <v>83</v>
      </c>
      <c r="F34" s="2" t="s">
        <v>84</v>
      </c>
      <c r="G34" s="2" t="s">
        <v>85</v>
      </c>
      <c r="H34" s="2" t="s">
        <v>86</v>
      </c>
      <c r="I34" s="2" t="s">
        <v>87</v>
      </c>
      <c r="J34" s="2" t="s">
        <v>88</v>
      </c>
      <c r="K34" s="2" t="s">
        <v>89</v>
      </c>
      <c r="L34" s="2" t="s">
        <v>90</v>
      </c>
      <c r="M34" s="2" t="s">
        <v>91</v>
      </c>
      <c r="N34" s="2" t="s">
        <v>92</v>
      </c>
      <c r="O34" s="2" t="s">
        <v>93</v>
      </c>
      <c r="P34" s="2" t="s">
        <v>94</v>
      </c>
      <c r="Q34" s="2" t="s">
        <v>95</v>
      </c>
      <c r="U34" s="12" t="s">
        <v>15</v>
      </c>
      <c r="V34" s="2" t="s">
        <v>98</v>
      </c>
      <c r="W34" s="2" t="s">
        <v>108</v>
      </c>
      <c r="X34" s="2" t="s">
        <v>83</v>
      </c>
      <c r="Y34" s="2" t="s">
        <v>84</v>
      </c>
      <c r="Z34" s="2" t="s">
        <v>85</v>
      </c>
      <c r="AA34" s="2" t="s">
        <v>86</v>
      </c>
      <c r="AB34" s="2" t="s">
        <v>87</v>
      </c>
      <c r="AC34" s="2" t="s">
        <v>88</v>
      </c>
      <c r="AD34" s="2" t="s">
        <v>89</v>
      </c>
      <c r="AE34" s="2" t="s">
        <v>90</v>
      </c>
      <c r="AF34" s="2" t="s">
        <v>91</v>
      </c>
      <c r="AG34" s="2" t="s">
        <v>92</v>
      </c>
      <c r="AH34" s="2" t="s">
        <v>93</v>
      </c>
      <c r="AI34" s="2" t="s">
        <v>94</v>
      </c>
      <c r="AJ34" s="2" t="s">
        <v>95</v>
      </c>
    </row>
    <row r="35" spans="2:37">
      <c r="B35" s="2" t="str">
        <f>Simulation!B12</f>
        <v>LungCancer</v>
      </c>
      <c r="C35" s="8">
        <v>1.2</v>
      </c>
      <c r="D35" s="8">
        <v>1.2</v>
      </c>
      <c r="E35" s="8">
        <v>1.3</v>
      </c>
      <c r="F35" s="8">
        <v>1.4</v>
      </c>
      <c r="G35" s="8">
        <v>1.5</v>
      </c>
      <c r="H35" s="8">
        <v>1.7</v>
      </c>
      <c r="I35" s="8">
        <v>1.9</v>
      </c>
      <c r="J35" s="8">
        <v>1.9</v>
      </c>
      <c r="K35" s="8">
        <v>1.9</v>
      </c>
      <c r="L35" s="8">
        <v>1.9</v>
      </c>
      <c r="M35" s="8">
        <v>1.9</v>
      </c>
      <c r="N35" s="8">
        <v>1.9</v>
      </c>
      <c r="O35" s="8">
        <v>1.9</v>
      </c>
      <c r="P35" s="8">
        <v>1.9</v>
      </c>
      <c r="Q35" s="8">
        <v>1.9</v>
      </c>
      <c r="U35" s="2" t="str">
        <f>U24</f>
        <v>LungCancer</v>
      </c>
      <c r="V35" s="8">
        <v>1.2</v>
      </c>
      <c r="W35" s="8">
        <v>1.2</v>
      </c>
      <c r="X35" s="8">
        <v>1.3</v>
      </c>
      <c r="Y35" s="8">
        <v>1.4</v>
      </c>
      <c r="Z35" s="8">
        <v>1.5</v>
      </c>
      <c r="AA35" s="8">
        <v>1.7</v>
      </c>
      <c r="AB35" s="8">
        <v>1.9</v>
      </c>
      <c r="AC35" s="8">
        <v>1.9</v>
      </c>
      <c r="AD35" s="8">
        <v>1.9</v>
      </c>
      <c r="AE35" s="8">
        <v>1.9</v>
      </c>
      <c r="AF35" s="8">
        <v>1.9</v>
      </c>
      <c r="AG35" s="8">
        <v>1.9</v>
      </c>
      <c r="AH35" s="8">
        <v>1.9</v>
      </c>
      <c r="AI35" s="8">
        <v>1.9</v>
      </c>
      <c r="AJ35" s="8">
        <v>1.9</v>
      </c>
    </row>
    <row r="36" spans="2:37">
      <c r="B36" s="2" t="str">
        <f>Simulation!B13</f>
        <v>COPD</v>
      </c>
      <c r="C36" s="8">
        <v>1.2</v>
      </c>
      <c r="D36" s="8">
        <v>1.2</v>
      </c>
      <c r="E36" s="8">
        <v>1.3</v>
      </c>
      <c r="F36" s="8">
        <v>1.4</v>
      </c>
      <c r="G36" s="8">
        <v>1.5</v>
      </c>
      <c r="H36" s="8">
        <v>1.7</v>
      </c>
      <c r="I36" s="8">
        <v>1.9</v>
      </c>
      <c r="J36" s="8">
        <v>1.9</v>
      </c>
      <c r="K36" s="8">
        <v>1.9</v>
      </c>
      <c r="L36" s="8">
        <v>1.9</v>
      </c>
      <c r="M36" s="8">
        <v>1.9</v>
      </c>
      <c r="N36" s="8">
        <v>1.9</v>
      </c>
      <c r="O36" s="8">
        <v>1.9</v>
      </c>
      <c r="P36" s="8">
        <v>1.9</v>
      </c>
      <c r="Q36" s="8">
        <v>1.9</v>
      </c>
      <c r="U36" s="2" t="str">
        <f>U25</f>
        <v>COPD</v>
      </c>
      <c r="V36" s="8">
        <v>1.2</v>
      </c>
      <c r="W36" s="8">
        <v>1.2</v>
      </c>
      <c r="X36" s="8">
        <v>1.3</v>
      </c>
      <c r="Y36" s="8">
        <v>1.4</v>
      </c>
      <c r="Z36" s="8">
        <v>1.5</v>
      </c>
      <c r="AA36" s="8">
        <v>1.7</v>
      </c>
      <c r="AB36" s="8">
        <v>1.9</v>
      </c>
      <c r="AC36" s="8">
        <v>1.9</v>
      </c>
      <c r="AD36" s="8">
        <v>1.9</v>
      </c>
      <c r="AE36" s="8">
        <v>1.9</v>
      </c>
      <c r="AF36" s="8">
        <v>1.9</v>
      </c>
      <c r="AG36" s="8">
        <v>1.9</v>
      </c>
      <c r="AH36" s="8">
        <v>1.9</v>
      </c>
      <c r="AI36" s="8">
        <v>1.9</v>
      </c>
      <c r="AJ36" s="8">
        <v>1.9</v>
      </c>
    </row>
    <row r="37" spans="2:37">
      <c r="B37" s="2" t="str">
        <f>Simulation!B14</f>
        <v>MI</v>
      </c>
      <c r="C37" s="8">
        <v>1.2</v>
      </c>
      <c r="D37" s="8">
        <v>1.2</v>
      </c>
      <c r="E37" s="8">
        <v>1.3</v>
      </c>
      <c r="F37" s="8">
        <v>1.4</v>
      </c>
      <c r="G37" s="8">
        <v>1.5</v>
      </c>
      <c r="H37" s="8">
        <v>1.7</v>
      </c>
      <c r="I37" s="8">
        <v>1.9</v>
      </c>
      <c r="J37" s="8">
        <v>1.9</v>
      </c>
      <c r="K37" s="8">
        <v>1.9</v>
      </c>
      <c r="L37" s="8">
        <v>1.9</v>
      </c>
      <c r="M37" s="8">
        <v>1.9</v>
      </c>
      <c r="N37" s="8">
        <v>1.9</v>
      </c>
      <c r="O37" s="8">
        <v>1.9</v>
      </c>
      <c r="P37" s="8">
        <v>1.9</v>
      </c>
      <c r="Q37" s="8">
        <v>1.9</v>
      </c>
      <c r="U37" s="2" t="str">
        <f>U26</f>
        <v>MI</v>
      </c>
      <c r="V37" s="8">
        <v>1.2</v>
      </c>
      <c r="W37" s="8">
        <v>1.2</v>
      </c>
      <c r="X37" s="8">
        <v>1.3</v>
      </c>
      <c r="Y37" s="8">
        <v>1.4</v>
      </c>
      <c r="Z37" s="8">
        <v>1.5</v>
      </c>
      <c r="AA37" s="8">
        <v>1.7</v>
      </c>
      <c r="AB37" s="8">
        <v>1.9</v>
      </c>
      <c r="AC37" s="8">
        <v>1.9</v>
      </c>
      <c r="AD37" s="8">
        <v>1.9</v>
      </c>
      <c r="AE37" s="8">
        <v>1.9</v>
      </c>
      <c r="AF37" s="8">
        <v>1.9</v>
      </c>
      <c r="AG37" s="8">
        <v>1.9</v>
      </c>
      <c r="AH37" s="8">
        <v>1.9</v>
      </c>
      <c r="AI37" s="8">
        <v>1.9</v>
      </c>
      <c r="AJ37" s="8">
        <v>1.9</v>
      </c>
      <c r="AK37" s="40"/>
    </row>
    <row r="38" spans="2:37">
      <c r="B38" s="2" t="str">
        <f>Simulation!B15</f>
        <v>Stroke</v>
      </c>
      <c r="C38" s="8">
        <v>1.2</v>
      </c>
      <c r="D38" s="8">
        <v>1.2</v>
      </c>
      <c r="E38" s="8">
        <v>1.3</v>
      </c>
      <c r="F38" s="8">
        <v>1.4</v>
      </c>
      <c r="G38" s="8">
        <v>1.5</v>
      </c>
      <c r="H38" s="8">
        <v>1.7</v>
      </c>
      <c r="I38" s="8">
        <v>1.9</v>
      </c>
      <c r="J38" s="8">
        <v>1.9</v>
      </c>
      <c r="K38" s="8">
        <v>1.9</v>
      </c>
      <c r="L38" s="8">
        <v>1.9</v>
      </c>
      <c r="M38" s="8">
        <v>1.9</v>
      </c>
      <c r="N38" s="8">
        <v>1.9</v>
      </c>
      <c r="O38" s="8">
        <v>1.9</v>
      </c>
      <c r="P38" s="8">
        <v>1.9</v>
      </c>
      <c r="Q38" s="8">
        <v>1.9</v>
      </c>
      <c r="U38" s="2" t="str">
        <f>U27</f>
        <v>Stroke</v>
      </c>
      <c r="V38" s="8">
        <v>1.2</v>
      </c>
      <c r="W38" s="8">
        <v>1.2</v>
      </c>
      <c r="X38" s="8">
        <v>1.3</v>
      </c>
      <c r="Y38" s="8">
        <v>1.4</v>
      </c>
      <c r="Z38" s="8">
        <v>1.5</v>
      </c>
      <c r="AA38" s="8">
        <v>1.7</v>
      </c>
      <c r="AB38" s="8">
        <v>1.9</v>
      </c>
      <c r="AC38" s="8">
        <v>1.9</v>
      </c>
      <c r="AD38" s="8">
        <v>1.9</v>
      </c>
      <c r="AE38" s="8">
        <v>1.9</v>
      </c>
      <c r="AF38" s="8">
        <v>1.9</v>
      </c>
      <c r="AG38" s="8">
        <v>1.9</v>
      </c>
      <c r="AH38" s="8">
        <v>1.9</v>
      </c>
      <c r="AI38" s="8">
        <v>1.9</v>
      </c>
      <c r="AJ38" s="8">
        <v>1.9</v>
      </c>
      <c r="AK38" s="19"/>
    </row>
    <row r="39" spans="2:37">
      <c r="B39" s="2" t="str">
        <f>Simulation!B16</f>
        <v>OthEvent</v>
      </c>
      <c r="C39" s="8">
        <v>1.2</v>
      </c>
      <c r="D39" s="8">
        <v>1.2</v>
      </c>
      <c r="E39" s="8">
        <v>1.3</v>
      </c>
      <c r="F39" s="8">
        <v>1.4</v>
      </c>
      <c r="G39" s="8">
        <v>1.5</v>
      </c>
      <c r="H39" s="8">
        <v>1.7</v>
      </c>
      <c r="I39" s="8">
        <v>1.9</v>
      </c>
      <c r="J39" s="8">
        <v>1.9</v>
      </c>
      <c r="K39" s="8">
        <v>1.9</v>
      </c>
      <c r="L39" s="8">
        <v>1.9</v>
      </c>
      <c r="M39" s="8">
        <v>1.9</v>
      </c>
      <c r="N39" s="8">
        <v>1.9</v>
      </c>
      <c r="O39" s="8">
        <v>1.9</v>
      </c>
      <c r="P39" s="8">
        <v>1.9</v>
      </c>
      <c r="Q39" s="8">
        <v>1.9</v>
      </c>
      <c r="U39" s="2" t="str">
        <f>U28</f>
        <v>OthEvent</v>
      </c>
      <c r="V39" s="8">
        <v>1.2</v>
      </c>
      <c r="W39" s="8">
        <v>1.2</v>
      </c>
      <c r="X39" s="8">
        <v>1.3</v>
      </c>
      <c r="Y39" s="8">
        <v>1.4</v>
      </c>
      <c r="Z39" s="8">
        <v>1.5</v>
      </c>
      <c r="AA39" s="8">
        <v>1.7</v>
      </c>
      <c r="AB39" s="8">
        <v>1.9</v>
      </c>
      <c r="AC39" s="8">
        <v>1.9</v>
      </c>
      <c r="AD39" s="8">
        <v>1.9</v>
      </c>
      <c r="AE39" s="8">
        <v>1.9</v>
      </c>
      <c r="AF39" s="8">
        <v>1.9</v>
      </c>
      <c r="AG39" s="8">
        <v>1.9</v>
      </c>
      <c r="AH39" s="8">
        <v>1.9</v>
      </c>
      <c r="AI39" s="8">
        <v>1.9</v>
      </c>
      <c r="AJ39" s="8">
        <v>1.9</v>
      </c>
      <c r="AK39" s="19"/>
    </row>
    <row r="40" spans="2:37">
      <c r="P40" s="19"/>
      <c r="Q40" s="19"/>
      <c r="AI40" s="19"/>
      <c r="AJ40" s="19"/>
      <c r="AK40" s="19"/>
    </row>
    <row r="41" spans="2:37">
      <c r="I41" s="12" t="s">
        <v>112</v>
      </c>
      <c r="P41" s="19"/>
      <c r="Q41" s="19"/>
      <c r="AA41" s="12" t="s">
        <v>112</v>
      </c>
      <c r="AI41" s="19"/>
      <c r="AJ41" s="19"/>
      <c r="AK41" s="19"/>
    </row>
    <row r="42" spans="2:37">
      <c r="B42" s="12" t="s">
        <v>16</v>
      </c>
      <c r="C42" s="2" t="s">
        <v>98</v>
      </c>
      <c r="D42" s="2" t="s">
        <v>108</v>
      </c>
      <c r="E42" s="2" t="s">
        <v>83</v>
      </c>
      <c r="F42" s="2" t="s">
        <v>84</v>
      </c>
      <c r="G42" s="2" t="s">
        <v>85</v>
      </c>
      <c r="H42" s="2" t="s">
        <v>86</v>
      </c>
      <c r="I42" s="2" t="s">
        <v>87</v>
      </c>
      <c r="J42" s="2" t="s">
        <v>88</v>
      </c>
      <c r="K42" s="2" t="s">
        <v>89</v>
      </c>
      <c r="L42" s="2" t="s">
        <v>90</v>
      </c>
      <c r="M42" s="2" t="s">
        <v>91</v>
      </c>
      <c r="N42" s="2" t="s">
        <v>92</v>
      </c>
      <c r="O42" s="2" t="s">
        <v>93</v>
      </c>
      <c r="P42" s="2" t="s">
        <v>94</v>
      </c>
      <c r="Q42" s="2" t="s">
        <v>95</v>
      </c>
      <c r="U42" s="12" t="s">
        <v>16</v>
      </c>
      <c r="V42" s="2" t="s">
        <v>98</v>
      </c>
      <c r="W42" s="2" t="s">
        <v>108</v>
      </c>
      <c r="X42" s="2" t="s">
        <v>83</v>
      </c>
      <c r="Y42" s="2" t="s">
        <v>84</v>
      </c>
      <c r="Z42" s="2" t="s">
        <v>85</v>
      </c>
      <c r="AA42" s="2" t="s">
        <v>86</v>
      </c>
      <c r="AB42" s="2" t="s">
        <v>87</v>
      </c>
      <c r="AC42" s="2" t="s">
        <v>88</v>
      </c>
      <c r="AD42" s="2" t="s">
        <v>89</v>
      </c>
      <c r="AE42" s="2" t="s">
        <v>90</v>
      </c>
      <c r="AF42" s="2" t="s">
        <v>91</v>
      </c>
      <c r="AG42" s="2" t="s">
        <v>92</v>
      </c>
      <c r="AH42" s="2" t="s">
        <v>93</v>
      </c>
      <c r="AI42" s="2" t="s">
        <v>94</v>
      </c>
      <c r="AJ42" s="2" t="s">
        <v>95</v>
      </c>
      <c r="AK42" s="19"/>
    </row>
    <row r="43" spans="2:37">
      <c r="B43" s="2" t="str">
        <f>B35</f>
        <v>LungCancer</v>
      </c>
      <c r="C43" s="8">
        <v>1.2</v>
      </c>
      <c r="D43" s="8">
        <v>1.2</v>
      </c>
      <c r="E43" s="8">
        <v>1.3</v>
      </c>
      <c r="F43" s="8">
        <v>1.4</v>
      </c>
      <c r="G43" s="8">
        <v>1.5</v>
      </c>
      <c r="H43" s="8">
        <v>1.7</v>
      </c>
      <c r="I43" s="8">
        <v>1.9</v>
      </c>
      <c r="J43" s="8">
        <v>1.9</v>
      </c>
      <c r="K43" s="8">
        <v>1.9</v>
      </c>
      <c r="L43" s="8">
        <v>1.9</v>
      </c>
      <c r="M43" s="8">
        <v>1.9</v>
      </c>
      <c r="N43" s="8">
        <v>1.9</v>
      </c>
      <c r="O43" s="8">
        <v>1.9</v>
      </c>
      <c r="P43" s="8">
        <v>1.9</v>
      </c>
      <c r="Q43" s="8">
        <v>1.9</v>
      </c>
      <c r="U43" s="2" t="str">
        <f>U35</f>
        <v>LungCancer</v>
      </c>
      <c r="V43" s="8">
        <v>1.2</v>
      </c>
      <c r="W43" s="8">
        <v>1.2</v>
      </c>
      <c r="X43" s="8">
        <v>1.3</v>
      </c>
      <c r="Y43" s="8">
        <v>1.4</v>
      </c>
      <c r="Z43" s="8">
        <v>1.5</v>
      </c>
      <c r="AA43" s="8">
        <v>1.7</v>
      </c>
      <c r="AB43" s="8">
        <v>1.9</v>
      </c>
      <c r="AC43" s="8">
        <v>1.9</v>
      </c>
      <c r="AD43" s="8">
        <v>1.9</v>
      </c>
      <c r="AE43" s="8">
        <v>1.9</v>
      </c>
      <c r="AF43" s="8">
        <v>1.9</v>
      </c>
      <c r="AG43" s="8">
        <v>1.9</v>
      </c>
      <c r="AH43" s="8">
        <v>1.9</v>
      </c>
      <c r="AI43" s="8">
        <v>1.9</v>
      </c>
      <c r="AJ43" s="8">
        <v>1.9</v>
      </c>
    </row>
    <row r="44" spans="2:37">
      <c r="B44" s="2" t="str">
        <f>B36</f>
        <v>COPD</v>
      </c>
      <c r="C44" s="8">
        <v>1.2</v>
      </c>
      <c r="D44" s="8">
        <v>1.2</v>
      </c>
      <c r="E44" s="8">
        <v>1.3</v>
      </c>
      <c r="F44" s="8">
        <v>1.4</v>
      </c>
      <c r="G44" s="8">
        <v>1.5</v>
      </c>
      <c r="H44" s="8">
        <v>1.7</v>
      </c>
      <c r="I44" s="8">
        <v>1.9</v>
      </c>
      <c r="J44" s="8">
        <v>1.9</v>
      </c>
      <c r="K44" s="8">
        <v>1.9</v>
      </c>
      <c r="L44" s="8">
        <v>1.9</v>
      </c>
      <c r="M44" s="8">
        <v>1.9</v>
      </c>
      <c r="N44" s="8">
        <v>1.9</v>
      </c>
      <c r="O44" s="8">
        <v>1.9</v>
      </c>
      <c r="P44" s="8">
        <v>1.9</v>
      </c>
      <c r="Q44" s="8">
        <v>1.9</v>
      </c>
      <c r="U44" s="2" t="str">
        <f>U36</f>
        <v>COPD</v>
      </c>
      <c r="V44" s="8">
        <v>1.2</v>
      </c>
      <c r="W44" s="8">
        <v>1.2</v>
      </c>
      <c r="X44" s="8">
        <v>1.3</v>
      </c>
      <c r="Y44" s="8">
        <v>1.4</v>
      </c>
      <c r="Z44" s="8">
        <v>1.5</v>
      </c>
      <c r="AA44" s="8">
        <v>1.7</v>
      </c>
      <c r="AB44" s="8">
        <v>1.9</v>
      </c>
      <c r="AC44" s="8">
        <v>1.9</v>
      </c>
      <c r="AD44" s="8">
        <v>1.9</v>
      </c>
      <c r="AE44" s="8">
        <v>1.9</v>
      </c>
      <c r="AF44" s="8">
        <v>1.9</v>
      </c>
      <c r="AG44" s="8">
        <v>1.9</v>
      </c>
      <c r="AH44" s="8">
        <v>1.9</v>
      </c>
      <c r="AI44" s="8">
        <v>1.9</v>
      </c>
      <c r="AJ44" s="8">
        <v>1.9</v>
      </c>
    </row>
    <row r="45" spans="2:37">
      <c r="B45" s="2" t="str">
        <f>B37</f>
        <v>MI</v>
      </c>
      <c r="C45" s="8">
        <v>1.2</v>
      </c>
      <c r="D45" s="8">
        <v>1.2</v>
      </c>
      <c r="E45" s="8">
        <v>1.3</v>
      </c>
      <c r="F45" s="8">
        <v>1.4</v>
      </c>
      <c r="G45" s="8">
        <v>1.5</v>
      </c>
      <c r="H45" s="8">
        <v>1.7</v>
      </c>
      <c r="I45" s="8">
        <v>1.9</v>
      </c>
      <c r="J45" s="8">
        <v>1.9</v>
      </c>
      <c r="K45" s="8">
        <v>1.9</v>
      </c>
      <c r="L45" s="8">
        <v>1.9</v>
      </c>
      <c r="M45" s="8">
        <v>1.9</v>
      </c>
      <c r="N45" s="8">
        <v>1.9</v>
      </c>
      <c r="O45" s="8">
        <v>1.9</v>
      </c>
      <c r="P45" s="8">
        <v>1.9</v>
      </c>
      <c r="Q45" s="8">
        <v>1.9</v>
      </c>
      <c r="U45" s="2" t="str">
        <f>U37</f>
        <v>MI</v>
      </c>
      <c r="V45" s="8">
        <v>1.2</v>
      </c>
      <c r="W45" s="8">
        <v>1.2</v>
      </c>
      <c r="X45" s="8">
        <v>1.3</v>
      </c>
      <c r="Y45" s="8">
        <v>1.4</v>
      </c>
      <c r="Z45" s="8">
        <v>1.5</v>
      </c>
      <c r="AA45" s="8">
        <v>1.7</v>
      </c>
      <c r="AB45" s="8">
        <v>1.9</v>
      </c>
      <c r="AC45" s="8">
        <v>1.9</v>
      </c>
      <c r="AD45" s="8">
        <v>1.9</v>
      </c>
      <c r="AE45" s="8">
        <v>1.9</v>
      </c>
      <c r="AF45" s="8">
        <v>1.9</v>
      </c>
      <c r="AG45" s="8">
        <v>1.9</v>
      </c>
      <c r="AH45" s="8">
        <v>1.9</v>
      </c>
      <c r="AI45" s="8">
        <v>1.9</v>
      </c>
      <c r="AJ45" s="8">
        <v>1.9</v>
      </c>
      <c r="AK45" s="40"/>
    </row>
    <row r="46" spans="2:37">
      <c r="B46" s="2" t="str">
        <f>B38</f>
        <v>Stroke</v>
      </c>
      <c r="C46" s="8">
        <v>1.2</v>
      </c>
      <c r="D46" s="8">
        <v>1.2</v>
      </c>
      <c r="E46" s="8">
        <v>1.3</v>
      </c>
      <c r="F46" s="8">
        <v>1.4</v>
      </c>
      <c r="G46" s="8">
        <v>1.5</v>
      </c>
      <c r="H46" s="8">
        <v>1.7</v>
      </c>
      <c r="I46" s="8">
        <v>1.9</v>
      </c>
      <c r="J46" s="8">
        <v>1.9</v>
      </c>
      <c r="K46" s="8">
        <v>1.9</v>
      </c>
      <c r="L46" s="8">
        <v>1.9</v>
      </c>
      <c r="M46" s="8">
        <v>1.9</v>
      </c>
      <c r="N46" s="8">
        <v>1.9</v>
      </c>
      <c r="O46" s="8">
        <v>1.9</v>
      </c>
      <c r="P46" s="8">
        <v>1.9</v>
      </c>
      <c r="Q46" s="8">
        <v>1.9</v>
      </c>
      <c r="U46" s="2" t="str">
        <f>U38</f>
        <v>Stroke</v>
      </c>
      <c r="V46" s="8">
        <v>1.2</v>
      </c>
      <c r="W46" s="8">
        <v>1.2</v>
      </c>
      <c r="X46" s="8">
        <v>1.3</v>
      </c>
      <c r="Y46" s="8">
        <v>1.4</v>
      </c>
      <c r="Z46" s="8">
        <v>1.5</v>
      </c>
      <c r="AA46" s="8">
        <v>1.7</v>
      </c>
      <c r="AB46" s="8">
        <v>1.9</v>
      </c>
      <c r="AC46" s="8">
        <v>1.9</v>
      </c>
      <c r="AD46" s="8">
        <v>1.9</v>
      </c>
      <c r="AE46" s="8">
        <v>1.9</v>
      </c>
      <c r="AF46" s="8">
        <v>1.9</v>
      </c>
      <c r="AG46" s="8">
        <v>1.9</v>
      </c>
      <c r="AH46" s="8">
        <v>1.9</v>
      </c>
      <c r="AI46" s="8">
        <v>1.9</v>
      </c>
      <c r="AJ46" s="8">
        <v>1.9</v>
      </c>
      <c r="AK46" s="19"/>
    </row>
    <row r="47" spans="2:37">
      <c r="B47" s="2" t="str">
        <f>B39</f>
        <v>OthEvent</v>
      </c>
      <c r="C47" s="8">
        <v>1.2</v>
      </c>
      <c r="D47" s="8">
        <v>1.2</v>
      </c>
      <c r="E47" s="8">
        <v>1.3</v>
      </c>
      <c r="F47" s="8">
        <v>1.4</v>
      </c>
      <c r="G47" s="8">
        <v>1.5</v>
      </c>
      <c r="H47" s="8">
        <v>1.7</v>
      </c>
      <c r="I47" s="8">
        <v>1.9</v>
      </c>
      <c r="J47" s="8">
        <v>1.9</v>
      </c>
      <c r="K47" s="8">
        <v>1.9</v>
      </c>
      <c r="L47" s="8">
        <v>1.9</v>
      </c>
      <c r="M47" s="8">
        <v>1.9</v>
      </c>
      <c r="N47" s="8">
        <v>1.9</v>
      </c>
      <c r="O47" s="8">
        <v>1.9</v>
      </c>
      <c r="P47" s="8">
        <v>1.9</v>
      </c>
      <c r="Q47" s="8">
        <v>1.9</v>
      </c>
      <c r="U47" s="2" t="str">
        <f>U39</f>
        <v>OthEvent</v>
      </c>
      <c r="V47" s="8">
        <v>1.2</v>
      </c>
      <c r="W47" s="8">
        <v>1.2</v>
      </c>
      <c r="X47" s="8">
        <v>1.3</v>
      </c>
      <c r="Y47" s="8">
        <v>1.4</v>
      </c>
      <c r="Z47" s="8">
        <v>1.5</v>
      </c>
      <c r="AA47" s="8">
        <v>1.7</v>
      </c>
      <c r="AB47" s="8">
        <v>1.9</v>
      </c>
      <c r="AC47" s="8">
        <v>1.9</v>
      </c>
      <c r="AD47" s="8">
        <v>1.9</v>
      </c>
      <c r="AE47" s="8">
        <v>1.9</v>
      </c>
      <c r="AF47" s="8">
        <v>1.9</v>
      </c>
      <c r="AG47" s="8">
        <v>1.9</v>
      </c>
      <c r="AH47" s="8">
        <v>1.9</v>
      </c>
      <c r="AI47" s="8">
        <v>1.9</v>
      </c>
      <c r="AJ47" s="8">
        <v>1.9</v>
      </c>
      <c r="AK47" s="19"/>
    </row>
    <row r="48" spans="2:37">
      <c r="P48" s="19"/>
      <c r="Q48" s="19"/>
      <c r="AI48" s="19"/>
      <c r="AJ48" s="19"/>
      <c r="AK48" s="19"/>
    </row>
    <row r="49" spans="1:37">
      <c r="I49" s="12" t="s">
        <v>112</v>
      </c>
      <c r="P49" s="19"/>
      <c r="Q49" s="19"/>
      <c r="AA49" s="12" t="s">
        <v>112</v>
      </c>
      <c r="AI49" s="19"/>
      <c r="AJ49" s="19"/>
      <c r="AK49" s="19"/>
    </row>
    <row r="50" spans="1:37">
      <c r="B50" s="12" t="s">
        <v>17</v>
      </c>
      <c r="C50" s="2" t="s">
        <v>98</v>
      </c>
      <c r="D50" s="2" t="s">
        <v>108</v>
      </c>
      <c r="E50" s="2" t="s">
        <v>83</v>
      </c>
      <c r="F50" s="2" t="s">
        <v>84</v>
      </c>
      <c r="G50" s="2" t="s">
        <v>85</v>
      </c>
      <c r="H50" s="2" t="s">
        <v>86</v>
      </c>
      <c r="I50" s="2" t="s">
        <v>87</v>
      </c>
      <c r="J50" s="2" t="s">
        <v>88</v>
      </c>
      <c r="K50" s="2" t="s">
        <v>89</v>
      </c>
      <c r="L50" s="2" t="s">
        <v>90</v>
      </c>
      <c r="M50" s="2" t="s">
        <v>91</v>
      </c>
      <c r="N50" s="2" t="s">
        <v>92</v>
      </c>
      <c r="O50" s="2" t="s">
        <v>93</v>
      </c>
      <c r="P50" s="2" t="s">
        <v>94</v>
      </c>
      <c r="Q50" s="2" t="s">
        <v>95</v>
      </c>
      <c r="U50" s="12" t="s">
        <v>17</v>
      </c>
      <c r="V50" s="2" t="s">
        <v>98</v>
      </c>
      <c r="W50" s="2" t="s">
        <v>108</v>
      </c>
      <c r="X50" s="2" t="s">
        <v>83</v>
      </c>
      <c r="Y50" s="2" t="s">
        <v>84</v>
      </c>
      <c r="Z50" s="2" t="s">
        <v>85</v>
      </c>
      <c r="AA50" s="2" t="s">
        <v>86</v>
      </c>
      <c r="AB50" s="2" t="s">
        <v>87</v>
      </c>
      <c r="AC50" s="2" t="s">
        <v>88</v>
      </c>
      <c r="AD50" s="2" t="s">
        <v>89</v>
      </c>
      <c r="AE50" s="2" t="s">
        <v>90</v>
      </c>
      <c r="AF50" s="2" t="s">
        <v>91</v>
      </c>
      <c r="AG50" s="2" t="s">
        <v>92</v>
      </c>
      <c r="AH50" s="2" t="s">
        <v>93</v>
      </c>
      <c r="AI50" s="2" t="s">
        <v>94</v>
      </c>
      <c r="AJ50" s="2" t="s">
        <v>95</v>
      </c>
      <c r="AK50" s="19"/>
    </row>
    <row r="51" spans="1:37">
      <c r="B51" s="2" t="str">
        <f>B43</f>
        <v>LungCancer</v>
      </c>
      <c r="C51" s="8">
        <v>1.2</v>
      </c>
      <c r="D51" s="8">
        <v>1.2</v>
      </c>
      <c r="E51" s="8">
        <v>1.3</v>
      </c>
      <c r="F51" s="8">
        <v>1.4</v>
      </c>
      <c r="G51" s="8">
        <v>1.5</v>
      </c>
      <c r="H51" s="8">
        <v>1.7</v>
      </c>
      <c r="I51" s="8">
        <v>1.9</v>
      </c>
      <c r="J51" s="8">
        <v>1.9</v>
      </c>
      <c r="K51" s="8">
        <v>1.9</v>
      </c>
      <c r="L51" s="8">
        <v>1.9</v>
      </c>
      <c r="M51" s="8">
        <v>1.9</v>
      </c>
      <c r="N51" s="8">
        <v>1.9</v>
      </c>
      <c r="O51" s="8">
        <v>1.9</v>
      </c>
      <c r="P51" s="8">
        <v>1.9</v>
      </c>
      <c r="Q51" s="8">
        <v>1.9</v>
      </c>
      <c r="U51" s="2" t="str">
        <f>U43</f>
        <v>LungCancer</v>
      </c>
      <c r="V51" s="8">
        <v>1.2</v>
      </c>
      <c r="W51" s="8">
        <v>1.2</v>
      </c>
      <c r="X51" s="8">
        <v>1.3</v>
      </c>
      <c r="Y51" s="8">
        <v>1.4</v>
      </c>
      <c r="Z51" s="8">
        <v>1.5</v>
      </c>
      <c r="AA51" s="8">
        <v>1.7</v>
      </c>
      <c r="AB51" s="8">
        <v>1.9</v>
      </c>
      <c r="AC51" s="8">
        <v>1.9</v>
      </c>
      <c r="AD51" s="8">
        <v>1.9</v>
      </c>
      <c r="AE51" s="8">
        <v>1.9</v>
      </c>
      <c r="AF51" s="8">
        <v>1.9</v>
      </c>
      <c r="AG51" s="8">
        <v>1.9</v>
      </c>
      <c r="AH51" s="8">
        <v>1.9</v>
      </c>
      <c r="AI51" s="8">
        <v>1.9</v>
      </c>
      <c r="AJ51" s="8">
        <v>1.9</v>
      </c>
    </row>
    <row r="52" spans="1:37">
      <c r="B52" s="2" t="str">
        <f>B44</f>
        <v>COPD</v>
      </c>
      <c r="C52" s="8">
        <v>1.2</v>
      </c>
      <c r="D52" s="8">
        <v>1.2</v>
      </c>
      <c r="E52" s="8">
        <v>1.3</v>
      </c>
      <c r="F52" s="8">
        <v>1.4</v>
      </c>
      <c r="G52" s="8">
        <v>1.5</v>
      </c>
      <c r="H52" s="8">
        <v>1.7</v>
      </c>
      <c r="I52" s="8">
        <v>1.9</v>
      </c>
      <c r="J52" s="8">
        <v>1.9</v>
      </c>
      <c r="K52" s="8">
        <v>1.9</v>
      </c>
      <c r="L52" s="8">
        <v>1.9</v>
      </c>
      <c r="M52" s="8">
        <v>1.9</v>
      </c>
      <c r="N52" s="8">
        <v>1.9</v>
      </c>
      <c r="O52" s="8">
        <v>1.9</v>
      </c>
      <c r="P52" s="8">
        <v>1.9</v>
      </c>
      <c r="Q52" s="8">
        <v>1.9</v>
      </c>
      <c r="U52" s="2" t="str">
        <f>U44</f>
        <v>COPD</v>
      </c>
      <c r="V52" s="8">
        <v>1.2</v>
      </c>
      <c r="W52" s="8">
        <v>1.2</v>
      </c>
      <c r="X52" s="8">
        <v>1.3</v>
      </c>
      <c r="Y52" s="8">
        <v>1.4</v>
      </c>
      <c r="Z52" s="8">
        <v>1.5</v>
      </c>
      <c r="AA52" s="8">
        <v>1.7</v>
      </c>
      <c r="AB52" s="8">
        <v>1.9</v>
      </c>
      <c r="AC52" s="8">
        <v>1.9</v>
      </c>
      <c r="AD52" s="8">
        <v>1.9</v>
      </c>
      <c r="AE52" s="8">
        <v>1.9</v>
      </c>
      <c r="AF52" s="8">
        <v>1.9</v>
      </c>
      <c r="AG52" s="8">
        <v>1.9</v>
      </c>
      <c r="AH52" s="8">
        <v>1.9</v>
      </c>
      <c r="AI52" s="8">
        <v>1.9</v>
      </c>
      <c r="AJ52" s="8">
        <v>1.9</v>
      </c>
    </row>
    <row r="53" spans="1:37">
      <c r="B53" s="2" t="str">
        <f>B45</f>
        <v>MI</v>
      </c>
      <c r="C53" s="8">
        <v>1.2</v>
      </c>
      <c r="D53" s="8">
        <v>1.2</v>
      </c>
      <c r="E53" s="8">
        <v>1.3</v>
      </c>
      <c r="F53" s="8">
        <v>1.4</v>
      </c>
      <c r="G53" s="8">
        <v>1.5</v>
      </c>
      <c r="H53" s="8">
        <v>1.7</v>
      </c>
      <c r="I53" s="8">
        <v>1.9</v>
      </c>
      <c r="J53" s="8">
        <v>1.9</v>
      </c>
      <c r="K53" s="8">
        <v>1.9</v>
      </c>
      <c r="L53" s="8">
        <v>1.9</v>
      </c>
      <c r="M53" s="8">
        <v>1.9</v>
      </c>
      <c r="N53" s="8">
        <v>1.9</v>
      </c>
      <c r="O53" s="8">
        <v>1.9</v>
      </c>
      <c r="P53" s="8">
        <v>1.9</v>
      </c>
      <c r="Q53" s="8">
        <v>1.9</v>
      </c>
      <c r="U53" s="2" t="str">
        <f>U45</f>
        <v>MI</v>
      </c>
      <c r="V53" s="8">
        <v>1.2</v>
      </c>
      <c r="W53" s="8">
        <v>1.2</v>
      </c>
      <c r="X53" s="8">
        <v>1.3</v>
      </c>
      <c r="Y53" s="8">
        <v>1.4</v>
      </c>
      <c r="Z53" s="8">
        <v>1.5</v>
      </c>
      <c r="AA53" s="8">
        <v>1.7</v>
      </c>
      <c r="AB53" s="8">
        <v>1.9</v>
      </c>
      <c r="AC53" s="8">
        <v>1.9</v>
      </c>
      <c r="AD53" s="8">
        <v>1.9</v>
      </c>
      <c r="AE53" s="8">
        <v>1.9</v>
      </c>
      <c r="AF53" s="8">
        <v>1.9</v>
      </c>
      <c r="AG53" s="8">
        <v>1.9</v>
      </c>
      <c r="AH53" s="8">
        <v>1.9</v>
      </c>
      <c r="AI53" s="8">
        <v>1.9</v>
      </c>
      <c r="AJ53" s="8">
        <v>1.9</v>
      </c>
      <c r="AK53" s="40"/>
    </row>
    <row r="54" spans="1:37">
      <c r="B54" s="2" t="str">
        <f>B46</f>
        <v>Stroke</v>
      </c>
      <c r="C54" s="8">
        <v>1.2</v>
      </c>
      <c r="D54" s="8">
        <v>1.2</v>
      </c>
      <c r="E54" s="8">
        <v>1.3</v>
      </c>
      <c r="F54" s="8">
        <v>1.4</v>
      </c>
      <c r="G54" s="8">
        <v>1.5</v>
      </c>
      <c r="H54" s="8">
        <v>1.7</v>
      </c>
      <c r="I54" s="8">
        <v>1.9</v>
      </c>
      <c r="J54" s="8">
        <v>1.9</v>
      </c>
      <c r="K54" s="8">
        <v>1.9</v>
      </c>
      <c r="L54" s="8">
        <v>1.9</v>
      </c>
      <c r="M54" s="8">
        <v>1.9</v>
      </c>
      <c r="N54" s="8">
        <v>1.9</v>
      </c>
      <c r="O54" s="8">
        <v>1.9</v>
      </c>
      <c r="P54" s="8">
        <v>1.9</v>
      </c>
      <c r="Q54" s="8">
        <v>1.9</v>
      </c>
      <c r="U54" s="2" t="str">
        <f>U46</f>
        <v>Stroke</v>
      </c>
      <c r="V54" s="8">
        <v>1.2</v>
      </c>
      <c r="W54" s="8">
        <v>1.2</v>
      </c>
      <c r="X54" s="8">
        <v>1.3</v>
      </c>
      <c r="Y54" s="8">
        <v>1.4</v>
      </c>
      <c r="Z54" s="8">
        <v>1.5</v>
      </c>
      <c r="AA54" s="8">
        <v>1.7</v>
      </c>
      <c r="AB54" s="8">
        <v>1.9</v>
      </c>
      <c r="AC54" s="8">
        <v>1.9</v>
      </c>
      <c r="AD54" s="8">
        <v>1.9</v>
      </c>
      <c r="AE54" s="8">
        <v>1.9</v>
      </c>
      <c r="AF54" s="8">
        <v>1.9</v>
      </c>
      <c r="AG54" s="8">
        <v>1.9</v>
      </c>
      <c r="AH54" s="8">
        <v>1.9</v>
      </c>
      <c r="AI54" s="8">
        <v>1.9</v>
      </c>
      <c r="AJ54" s="8">
        <v>1.9</v>
      </c>
      <c r="AK54" s="19"/>
    </row>
    <row r="55" spans="1:37">
      <c r="B55" s="2" t="str">
        <f>B47</f>
        <v>OthEvent</v>
      </c>
      <c r="C55" s="8">
        <v>1.2</v>
      </c>
      <c r="D55" s="8">
        <v>1.2</v>
      </c>
      <c r="E55" s="8">
        <v>1.3</v>
      </c>
      <c r="F55" s="8">
        <v>1.4</v>
      </c>
      <c r="G55" s="8">
        <v>1.5</v>
      </c>
      <c r="H55" s="8">
        <v>1.7</v>
      </c>
      <c r="I55" s="8">
        <v>1.9</v>
      </c>
      <c r="J55" s="8">
        <v>1.9</v>
      </c>
      <c r="K55" s="8">
        <v>1.9</v>
      </c>
      <c r="L55" s="8">
        <v>1.9</v>
      </c>
      <c r="M55" s="8">
        <v>1.9</v>
      </c>
      <c r="N55" s="8">
        <v>1.9</v>
      </c>
      <c r="O55" s="8">
        <v>1.9</v>
      </c>
      <c r="P55" s="8">
        <v>1.9</v>
      </c>
      <c r="Q55" s="8">
        <v>1.9</v>
      </c>
      <c r="U55" s="2" t="str">
        <f>U47</f>
        <v>OthEvent</v>
      </c>
      <c r="V55" s="8">
        <v>1.2</v>
      </c>
      <c r="W55" s="8">
        <v>1.2</v>
      </c>
      <c r="X55" s="8">
        <v>1.3</v>
      </c>
      <c r="Y55" s="8">
        <v>1.4</v>
      </c>
      <c r="Z55" s="8">
        <v>1.5</v>
      </c>
      <c r="AA55" s="8">
        <v>1.7</v>
      </c>
      <c r="AB55" s="8">
        <v>1.9</v>
      </c>
      <c r="AC55" s="8">
        <v>1.9</v>
      </c>
      <c r="AD55" s="8">
        <v>1.9</v>
      </c>
      <c r="AE55" s="8">
        <v>1.9</v>
      </c>
      <c r="AF55" s="8">
        <v>1.9</v>
      </c>
      <c r="AG55" s="8">
        <v>1.9</v>
      </c>
      <c r="AH55" s="8">
        <v>1.9</v>
      </c>
      <c r="AI55" s="8">
        <v>1.9</v>
      </c>
      <c r="AJ55" s="8">
        <v>1.9</v>
      </c>
      <c r="AK55" s="19"/>
    </row>
    <row r="56" spans="1:37">
      <c r="O56" s="19"/>
      <c r="P56" s="19"/>
      <c r="Q56" s="19"/>
      <c r="AI56" s="19"/>
      <c r="AJ56" s="19"/>
      <c r="AK56" s="19"/>
    </row>
    <row r="57" spans="1:37">
      <c r="O57" s="19"/>
      <c r="P57" s="19"/>
      <c r="Q57" s="19"/>
      <c r="AI57" s="19"/>
      <c r="AJ57" s="19"/>
      <c r="AK57" s="19"/>
    </row>
    <row r="58" spans="1:37">
      <c r="A58" s="12" t="s">
        <v>298</v>
      </c>
      <c r="O58" s="19"/>
      <c r="P58" s="19"/>
      <c r="Q58" s="19"/>
      <c r="T58" s="12" t="s">
        <v>306</v>
      </c>
      <c r="AI58" s="19"/>
      <c r="AJ58" s="19"/>
      <c r="AK58" s="19"/>
    </row>
    <row r="59" spans="1:37">
      <c r="C59" s="196" t="s">
        <v>287</v>
      </c>
      <c r="D59" s="196"/>
      <c r="V59" s="160" t="s">
        <v>287</v>
      </c>
    </row>
    <row r="60" spans="1:37">
      <c r="C60" s="128" t="s">
        <v>286</v>
      </c>
      <c r="D60" s="128" t="s">
        <v>288</v>
      </c>
      <c r="U60" s="18"/>
      <c r="V60" s="128" t="s">
        <v>286</v>
      </c>
      <c r="W60" s="128" t="s">
        <v>288</v>
      </c>
    </row>
    <row r="61" spans="1:37">
      <c r="B61" s="2" t="str">
        <f>B35</f>
        <v>LungCancer</v>
      </c>
      <c r="C61" s="127">
        <v>6</v>
      </c>
      <c r="D61" s="127">
        <v>120</v>
      </c>
      <c r="U61" s="18" t="str">
        <f>U35</f>
        <v>LungCancer</v>
      </c>
      <c r="V61" s="127">
        <v>6</v>
      </c>
      <c r="W61" s="127">
        <v>120</v>
      </c>
    </row>
    <row r="62" spans="1:37">
      <c r="B62" s="2" t="str">
        <f>B36</f>
        <v>COPD</v>
      </c>
      <c r="C62" s="127">
        <v>12</v>
      </c>
      <c r="D62" s="127">
        <v>60</v>
      </c>
      <c r="U62" s="18" t="str">
        <f>U36</f>
        <v>COPD</v>
      </c>
      <c r="V62" s="127">
        <v>12</v>
      </c>
      <c r="W62" s="127">
        <v>60</v>
      </c>
    </row>
    <row r="63" spans="1:37">
      <c r="B63" s="2" t="str">
        <f>B37</f>
        <v>MI</v>
      </c>
      <c r="C63" s="127">
        <v>18</v>
      </c>
      <c r="D63" s="127">
        <v>110</v>
      </c>
      <c r="U63" s="18" t="str">
        <f>U37</f>
        <v>MI</v>
      </c>
      <c r="V63" s="127">
        <v>18</v>
      </c>
      <c r="W63" s="127">
        <v>110</v>
      </c>
    </row>
    <row r="64" spans="1:37">
      <c r="B64" s="2" t="str">
        <f>B38</f>
        <v>Stroke</v>
      </c>
      <c r="C64" s="127">
        <v>24</v>
      </c>
      <c r="D64" s="127">
        <v>60</v>
      </c>
      <c r="U64" s="18" t="str">
        <f>U38</f>
        <v>Stroke</v>
      </c>
      <c r="V64" s="127">
        <v>24</v>
      </c>
      <c r="W64" s="127">
        <v>60</v>
      </c>
    </row>
    <row r="65" spans="1:31">
      <c r="B65" s="2" t="str">
        <f>B39</f>
        <v>OthEvent</v>
      </c>
      <c r="C65" s="127">
        <v>30</v>
      </c>
      <c r="D65" s="127">
        <v>120</v>
      </c>
      <c r="U65" s="18" t="str">
        <f>U39</f>
        <v>OthEvent</v>
      </c>
      <c r="V65" s="127">
        <v>30</v>
      </c>
      <c r="W65" s="127">
        <v>120</v>
      </c>
    </row>
    <row r="68" spans="1:31">
      <c r="A68" s="12" t="s">
        <v>74</v>
      </c>
      <c r="T68" s="12" t="s">
        <v>75</v>
      </c>
    </row>
    <row r="70" spans="1:31">
      <c r="B70" s="2" t="str">
        <f>B35</f>
        <v>LungCancer</v>
      </c>
      <c r="C70" s="8">
        <v>0.1</v>
      </c>
      <c r="E70" s="2" t="s">
        <v>291</v>
      </c>
      <c r="U70" s="2" t="str">
        <f>U35</f>
        <v>LungCancer</v>
      </c>
      <c r="V70" s="8">
        <v>0.01</v>
      </c>
      <c r="AD70" s="36"/>
      <c r="AE70" s="36"/>
    </row>
    <row r="71" spans="1:31">
      <c r="B71" s="2" t="str">
        <f>B36</f>
        <v>COPD</v>
      </c>
      <c r="C71" s="8">
        <v>0.1</v>
      </c>
      <c r="J71" s="36"/>
      <c r="K71" s="59"/>
      <c r="L71" s="59"/>
      <c r="U71" s="2" t="str">
        <f>U36</f>
        <v>COPD</v>
      </c>
      <c r="V71" s="8">
        <v>0.01</v>
      </c>
      <c r="AC71" s="59"/>
      <c r="AD71" s="59"/>
    </row>
    <row r="72" spans="1:31">
      <c r="B72" s="2" t="str">
        <f>B37</f>
        <v>MI</v>
      </c>
      <c r="C72" s="8">
        <v>0.1</v>
      </c>
      <c r="J72" s="36"/>
      <c r="K72" s="59"/>
      <c r="L72" s="59"/>
      <c r="U72" s="2" t="str">
        <f>U37</f>
        <v>MI</v>
      </c>
      <c r="V72" s="8">
        <v>0.01</v>
      </c>
      <c r="AC72" s="59"/>
      <c r="AD72" s="59"/>
    </row>
    <row r="73" spans="1:31">
      <c r="B73" s="2" t="str">
        <f>B38</f>
        <v>Stroke</v>
      </c>
      <c r="C73" s="8">
        <v>0.1</v>
      </c>
      <c r="J73" s="36"/>
      <c r="K73" s="59"/>
      <c r="L73" s="59"/>
      <c r="U73" s="2" t="str">
        <f>U38</f>
        <v>Stroke</v>
      </c>
      <c r="V73" s="8">
        <v>0.01</v>
      </c>
      <c r="AC73" s="59"/>
      <c r="AD73" s="59"/>
    </row>
    <row r="74" spans="1:31">
      <c r="B74" s="2" t="str">
        <f>B39</f>
        <v>OthEvent</v>
      </c>
      <c r="C74" s="8">
        <v>0.1</v>
      </c>
      <c r="J74" s="36"/>
      <c r="K74" s="59"/>
      <c r="L74" s="59"/>
      <c r="U74" s="2" t="str">
        <f>U39</f>
        <v>OthEvent</v>
      </c>
      <c r="V74" s="8">
        <v>0.01</v>
      </c>
      <c r="AC74" s="59"/>
      <c r="AD74" s="59"/>
    </row>
    <row r="75" spans="1:31">
      <c r="J75" s="36"/>
      <c r="K75" s="59"/>
      <c r="L75" s="59"/>
      <c r="AC75" s="59"/>
      <c r="AD75" s="59"/>
    </row>
  </sheetData>
  <mergeCells count="1">
    <mergeCell ref="C59:D59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AM116"/>
  <sheetViews>
    <sheetView workbookViewId="0">
      <selection activeCell="D16" sqref="D16"/>
    </sheetView>
  </sheetViews>
  <sheetFormatPr defaultColWidth="9.140625" defaultRowHeight="12.75"/>
  <cols>
    <col min="1" max="1" width="4.42578125" style="2" customWidth="1"/>
    <col min="2" max="2" width="9.140625" style="2"/>
    <col min="3" max="3" width="17.28515625" style="2" customWidth="1"/>
    <col min="4" max="4" width="11.42578125" style="2" customWidth="1"/>
    <col min="5" max="5" width="14.28515625" style="2" customWidth="1"/>
    <col min="6" max="6" width="19.28515625" style="2" customWidth="1"/>
    <col min="7" max="7" width="18.7109375" style="2" customWidth="1"/>
    <col min="8" max="9" width="9.140625" style="2"/>
    <col min="10" max="10" width="2.42578125" style="173" customWidth="1"/>
    <col min="11" max="11" width="9.140625" style="2"/>
    <col min="12" max="12" width="8.42578125" style="2" customWidth="1"/>
    <col min="13" max="13" width="17.85546875" style="2" customWidth="1"/>
    <col min="14" max="14" width="11.140625" style="2" customWidth="1"/>
    <col min="15" max="15" width="12.85546875" style="2" bestFit="1" customWidth="1"/>
    <col min="16" max="16" width="13.85546875" style="2" customWidth="1"/>
    <col min="17" max="17" width="11.28515625" style="2" customWidth="1"/>
    <col min="18" max="18" width="10.85546875" style="2" customWidth="1"/>
    <col min="19" max="23" width="9.140625" style="2"/>
    <col min="24" max="24" width="11.140625" style="2" customWidth="1"/>
    <col min="25" max="25" width="11.85546875" style="2" customWidth="1"/>
    <col min="26" max="26" width="11" style="2" customWidth="1"/>
    <col min="27" max="27" width="9.140625" style="2"/>
    <col min="28" max="28" width="13.140625" style="2" customWidth="1"/>
    <col min="29" max="29" width="9.140625" style="2"/>
    <col min="30" max="30" width="2.42578125" style="173" customWidth="1"/>
    <col min="31" max="32" width="9.140625" style="2"/>
    <col min="33" max="33" width="18" style="2" customWidth="1"/>
    <col min="34" max="16384" width="9.140625" style="2"/>
  </cols>
  <sheetData>
    <row r="1" spans="1:39" s="14" customFormat="1" ht="20.25">
      <c r="A1" s="13" t="s">
        <v>24</v>
      </c>
      <c r="B1" s="13"/>
      <c r="J1" s="172"/>
      <c r="K1" s="13" t="s">
        <v>314</v>
      </c>
      <c r="AD1" s="172"/>
      <c r="AE1" s="13" t="s">
        <v>319</v>
      </c>
      <c r="AH1" s="13"/>
    </row>
    <row r="3" spans="1:39">
      <c r="A3" s="12" t="s">
        <v>39</v>
      </c>
      <c r="K3" s="38" t="s">
        <v>315</v>
      </c>
      <c r="P3" s="18"/>
      <c r="Q3" s="18"/>
      <c r="R3" s="18"/>
      <c r="S3" s="18"/>
      <c r="T3" s="18"/>
      <c r="U3" s="18"/>
      <c r="V3" s="18"/>
      <c r="W3" s="18"/>
      <c r="AE3" s="38" t="s">
        <v>320</v>
      </c>
      <c r="AF3" s="18"/>
      <c r="AG3" s="18"/>
      <c r="AH3" s="18"/>
      <c r="AI3" s="18"/>
      <c r="AJ3" s="18"/>
      <c r="AK3" s="18"/>
      <c r="AL3" s="18"/>
    </row>
    <row r="4" spans="1:39">
      <c r="O4" s="18"/>
      <c r="P4" s="18"/>
      <c r="Q4" s="18"/>
      <c r="R4" s="18"/>
      <c r="S4" s="18"/>
      <c r="T4" s="18"/>
      <c r="U4" s="18"/>
      <c r="V4" s="18"/>
      <c r="W4" s="18"/>
      <c r="AE4" s="18"/>
      <c r="AF4" s="18"/>
      <c r="AG4" s="18"/>
      <c r="AI4" s="18"/>
      <c r="AJ4" s="18"/>
      <c r="AK4" s="18"/>
      <c r="AL4" s="18"/>
      <c r="AM4" s="18"/>
    </row>
    <row r="5" spans="1:39">
      <c r="B5" s="51" t="s">
        <v>25</v>
      </c>
      <c r="C5" s="115" t="s">
        <v>26</v>
      </c>
      <c r="D5" s="51" t="str">
        <f>Simulation!B12</f>
        <v>LungCancer</v>
      </c>
      <c r="E5" s="51" t="str">
        <f>Simulation!B13</f>
        <v>COPD</v>
      </c>
      <c r="F5" s="51" t="str">
        <f>Simulation!B14</f>
        <v>MI</v>
      </c>
      <c r="G5" s="51" t="str">
        <f>Simulation!B15</f>
        <v>Stroke</v>
      </c>
      <c r="H5" s="51" t="str">
        <f>Simulation!B16</f>
        <v>OthEvent</v>
      </c>
      <c r="L5" s="18"/>
      <c r="M5" s="18"/>
      <c r="N5" s="133" t="s">
        <v>15</v>
      </c>
      <c r="O5" s="114"/>
      <c r="P5" s="133" t="s">
        <v>16</v>
      </c>
      <c r="Q5" s="114"/>
      <c r="R5" s="133" t="s">
        <v>17</v>
      </c>
      <c r="S5" s="116"/>
      <c r="W5" s="18"/>
      <c r="AF5" s="18"/>
      <c r="AG5" s="18"/>
      <c r="AH5" s="133" t="s">
        <v>15</v>
      </c>
      <c r="AI5" s="114"/>
      <c r="AJ5" s="133" t="s">
        <v>16</v>
      </c>
      <c r="AK5" s="114"/>
      <c r="AL5" s="133" t="s">
        <v>17</v>
      </c>
      <c r="AM5" s="116"/>
    </row>
    <row r="6" spans="1:39">
      <c r="B6" s="170">
        <v>1</v>
      </c>
      <c r="C6" s="118" t="s">
        <v>28</v>
      </c>
      <c r="D6" s="20">
        <v>0.5</v>
      </c>
      <c r="E6" s="20">
        <v>1</v>
      </c>
      <c r="F6" s="20">
        <v>1</v>
      </c>
      <c r="G6" s="20">
        <v>1</v>
      </c>
      <c r="H6" s="20">
        <v>1</v>
      </c>
      <c r="L6" s="51" t="s">
        <v>25</v>
      </c>
      <c r="M6" s="115" t="s">
        <v>26</v>
      </c>
      <c r="N6" s="18" t="s">
        <v>13</v>
      </c>
      <c r="O6" s="18" t="s">
        <v>12</v>
      </c>
      <c r="P6" s="18" t="s">
        <v>13</v>
      </c>
      <c r="Q6" s="18" t="s">
        <v>12</v>
      </c>
      <c r="R6" s="18" t="s">
        <v>13</v>
      </c>
      <c r="S6" s="18" t="s">
        <v>12</v>
      </c>
      <c r="W6" s="18"/>
      <c r="AF6" s="51" t="s">
        <v>25</v>
      </c>
      <c r="AG6" s="115" t="s">
        <v>26</v>
      </c>
      <c r="AH6" s="18" t="s">
        <v>13</v>
      </c>
      <c r="AI6" s="18" t="s">
        <v>12</v>
      </c>
      <c r="AJ6" s="18" t="s">
        <v>13</v>
      </c>
      <c r="AK6" s="18" t="s">
        <v>12</v>
      </c>
      <c r="AL6" s="18" t="s">
        <v>13</v>
      </c>
      <c r="AM6" s="18" t="s">
        <v>12</v>
      </c>
    </row>
    <row r="7" spans="1:39">
      <c r="B7" s="170">
        <v>2</v>
      </c>
      <c r="C7" s="118" t="s">
        <v>29</v>
      </c>
      <c r="D7" s="20">
        <v>1</v>
      </c>
      <c r="E7" s="20">
        <v>0.5</v>
      </c>
      <c r="F7" s="20">
        <v>1</v>
      </c>
      <c r="G7" s="20">
        <v>1</v>
      </c>
      <c r="H7" s="20">
        <v>1</v>
      </c>
      <c r="L7" s="170">
        <v>1</v>
      </c>
      <c r="M7" s="113" t="str">
        <f t="shared" ref="M7:M16" si="0">C6</f>
        <v>User Proph 1</v>
      </c>
      <c r="N7" s="20">
        <v>0.1</v>
      </c>
      <c r="O7" s="20">
        <v>0.1</v>
      </c>
      <c r="P7" s="20">
        <v>0.1</v>
      </c>
      <c r="Q7" s="20">
        <v>0.1</v>
      </c>
      <c r="R7" s="20">
        <v>0.1</v>
      </c>
      <c r="S7" s="20">
        <v>0.1</v>
      </c>
      <c r="W7" s="18"/>
      <c r="AF7" s="170">
        <v>1</v>
      </c>
      <c r="AG7" s="113" t="str">
        <f t="shared" ref="AG7:AG16" si="1">M7</f>
        <v>User Proph 1</v>
      </c>
      <c r="AH7" s="20">
        <v>0.1</v>
      </c>
      <c r="AI7" s="20">
        <v>0.1</v>
      </c>
      <c r="AJ7" s="20">
        <v>0.1</v>
      </c>
      <c r="AK7" s="20">
        <v>0.1</v>
      </c>
      <c r="AL7" s="20">
        <v>0.1</v>
      </c>
      <c r="AM7" s="20">
        <v>0.1</v>
      </c>
    </row>
    <row r="8" spans="1:39">
      <c r="B8" s="170">
        <v>3</v>
      </c>
      <c r="C8" s="118" t="s">
        <v>30</v>
      </c>
      <c r="D8" s="20">
        <v>1</v>
      </c>
      <c r="E8" s="20">
        <v>1</v>
      </c>
      <c r="F8" s="20">
        <v>0.5</v>
      </c>
      <c r="G8" s="20">
        <v>1</v>
      </c>
      <c r="H8" s="20">
        <v>1</v>
      </c>
      <c r="I8" s="18"/>
      <c r="L8" s="170">
        <v>2</v>
      </c>
      <c r="M8" s="113" t="str">
        <f t="shared" si="0"/>
        <v>User Proph 2</v>
      </c>
      <c r="N8" s="20">
        <v>0.1</v>
      </c>
      <c r="O8" s="20">
        <v>0.1</v>
      </c>
      <c r="P8" s="20">
        <v>0.1</v>
      </c>
      <c r="Q8" s="20">
        <v>0.1</v>
      </c>
      <c r="R8" s="20">
        <v>0.1</v>
      </c>
      <c r="S8" s="20">
        <v>0.1</v>
      </c>
      <c r="W8" s="18"/>
      <c r="AF8" s="170">
        <v>2</v>
      </c>
      <c r="AG8" s="113" t="str">
        <f t="shared" si="1"/>
        <v>User Proph 2</v>
      </c>
      <c r="AH8" s="20">
        <v>0.1</v>
      </c>
      <c r="AI8" s="20">
        <v>0.1</v>
      </c>
      <c r="AJ8" s="20">
        <v>0.1</v>
      </c>
      <c r="AK8" s="20">
        <v>0.1</v>
      </c>
      <c r="AL8" s="20">
        <v>0.1</v>
      </c>
      <c r="AM8" s="20">
        <v>0.1</v>
      </c>
    </row>
    <row r="9" spans="1:39">
      <c r="B9" s="170">
        <v>4</v>
      </c>
      <c r="C9" s="118" t="s">
        <v>31</v>
      </c>
      <c r="D9" s="20">
        <v>1</v>
      </c>
      <c r="E9" s="20">
        <v>1</v>
      </c>
      <c r="F9" s="20">
        <v>1</v>
      </c>
      <c r="G9" s="20">
        <v>0.5</v>
      </c>
      <c r="H9" s="20">
        <v>1</v>
      </c>
      <c r="I9" s="18"/>
      <c r="L9" s="170">
        <v>3</v>
      </c>
      <c r="M9" s="113" t="str">
        <f t="shared" si="0"/>
        <v>User Proph 3</v>
      </c>
      <c r="N9" s="20">
        <v>0.1</v>
      </c>
      <c r="O9" s="20">
        <v>0.1</v>
      </c>
      <c r="P9" s="20">
        <v>0.1</v>
      </c>
      <c r="Q9" s="20">
        <v>0.1</v>
      </c>
      <c r="R9" s="20">
        <v>0.1</v>
      </c>
      <c r="S9" s="20">
        <v>0.1</v>
      </c>
      <c r="W9" s="18"/>
      <c r="AF9" s="170">
        <v>3</v>
      </c>
      <c r="AG9" s="113" t="str">
        <f t="shared" si="1"/>
        <v>User Proph 3</v>
      </c>
      <c r="AH9" s="20">
        <v>0.1</v>
      </c>
      <c r="AI9" s="20">
        <v>0.1</v>
      </c>
      <c r="AJ9" s="20">
        <v>0.1</v>
      </c>
      <c r="AK9" s="20">
        <v>0.1</v>
      </c>
      <c r="AL9" s="20">
        <v>0.1</v>
      </c>
      <c r="AM9" s="20">
        <v>0.1</v>
      </c>
    </row>
    <row r="10" spans="1:39">
      <c r="B10" s="170">
        <v>5</v>
      </c>
      <c r="C10" s="119" t="s">
        <v>32</v>
      </c>
      <c r="D10" s="20">
        <v>1</v>
      </c>
      <c r="E10" s="20">
        <v>1</v>
      </c>
      <c r="F10" s="20">
        <v>1</v>
      </c>
      <c r="G10" s="20">
        <v>1</v>
      </c>
      <c r="H10" s="20">
        <v>0.5</v>
      </c>
      <c r="I10" s="18"/>
      <c r="L10" s="170">
        <v>4</v>
      </c>
      <c r="M10" s="113" t="str">
        <f t="shared" si="0"/>
        <v>User Proph 4</v>
      </c>
      <c r="N10" s="20">
        <v>0.1</v>
      </c>
      <c r="O10" s="20">
        <v>0.1</v>
      </c>
      <c r="P10" s="20">
        <v>0.1</v>
      </c>
      <c r="Q10" s="20">
        <v>0.1</v>
      </c>
      <c r="R10" s="20">
        <v>0.1</v>
      </c>
      <c r="S10" s="20">
        <v>0.1</v>
      </c>
      <c r="W10" s="18"/>
      <c r="AF10" s="170">
        <v>4</v>
      </c>
      <c r="AG10" s="113" t="str">
        <f t="shared" si="1"/>
        <v>User Proph 4</v>
      </c>
      <c r="AH10" s="20">
        <v>0.1</v>
      </c>
      <c r="AI10" s="20">
        <v>0.1</v>
      </c>
      <c r="AJ10" s="20">
        <v>0.1</v>
      </c>
      <c r="AK10" s="20">
        <v>0.1</v>
      </c>
      <c r="AL10" s="20">
        <v>0.1</v>
      </c>
      <c r="AM10" s="20">
        <v>0.1</v>
      </c>
    </row>
    <row r="11" spans="1:39">
      <c r="B11" s="170">
        <v>6</v>
      </c>
      <c r="C11" s="119" t="s">
        <v>33</v>
      </c>
      <c r="D11" s="20">
        <v>1</v>
      </c>
      <c r="E11" s="20">
        <v>1</v>
      </c>
      <c r="F11" s="20">
        <v>1</v>
      </c>
      <c r="G11" s="20">
        <v>1</v>
      </c>
      <c r="H11" s="20">
        <v>1</v>
      </c>
      <c r="I11" s="18"/>
      <c r="L11" s="170">
        <v>5</v>
      </c>
      <c r="M11" s="113" t="str">
        <f t="shared" si="0"/>
        <v>User Proph 5</v>
      </c>
      <c r="N11" s="20">
        <v>0.1</v>
      </c>
      <c r="O11" s="20">
        <v>0.1</v>
      </c>
      <c r="P11" s="20">
        <v>0.1</v>
      </c>
      <c r="Q11" s="20">
        <v>0.1</v>
      </c>
      <c r="R11" s="20">
        <v>0.1</v>
      </c>
      <c r="S11" s="20">
        <v>0.1</v>
      </c>
      <c r="W11" s="18"/>
      <c r="AF11" s="170">
        <v>5</v>
      </c>
      <c r="AG11" s="113" t="str">
        <f t="shared" si="1"/>
        <v>User Proph 5</v>
      </c>
      <c r="AH11" s="20">
        <v>0.1</v>
      </c>
      <c r="AI11" s="20">
        <v>0.1</v>
      </c>
      <c r="AJ11" s="20">
        <v>0.1</v>
      </c>
      <c r="AK11" s="20">
        <v>0.1</v>
      </c>
      <c r="AL11" s="20">
        <v>0.1</v>
      </c>
      <c r="AM11" s="20">
        <v>0.1</v>
      </c>
    </row>
    <row r="12" spans="1:39">
      <c r="B12" s="170">
        <v>7</v>
      </c>
      <c r="C12" s="119" t="s">
        <v>34</v>
      </c>
      <c r="D12" s="20">
        <v>1</v>
      </c>
      <c r="E12" s="20">
        <v>1</v>
      </c>
      <c r="F12" s="20">
        <v>1</v>
      </c>
      <c r="G12" s="20">
        <v>1</v>
      </c>
      <c r="H12" s="20">
        <v>1</v>
      </c>
      <c r="I12" s="18"/>
      <c r="L12" s="170">
        <v>6</v>
      </c>
      <c r="M12" s="113" t="str">
        <f t="shared" si="0"/>
        <v>User Proph 6</v>
      </c>
      <c r="N12" s="20">
        <v>0.1</v>
      </c>
      <c r="O12" s="20">
        <v>0.1</v>
      </c>
      <c r="P12" s="20">
        <v>0.1</v>
      </c>
      <c r="Q12" s="20">
        <v>0.1</v>
      </c>
      <c r="R12" s="20">
        <v>0.1</v>
      </c>
      <c r="S12" s="20">
        <v>0.1</v>
      </c>
      <c r="W12" s="18"/>
      <c r="AF12" s="170">
        <v>6</v>
      </c>
      <c r="AG12" s="113" t="str">
        <f t="shared" si="1"/>
        <v>User Proph 6</v>
      </c>
      <c r="AH12" s="20">
        <v>0.1</v>
      </c>
      <c r="AI12" s="20">
        <v>0.1</v>
      </c>
      <c r="AJ12" s="20">
        <v>0.1</v>
      </c>
      <c r="AK12" s="20">
        <v>0.1</v>
      </c>
      <c r="AL12" s="20">
        <v>0.1</v>
      </c>
      <c r="AM12" s="20">
        <v>0.1</v>
      </c>
    </row>
    <row r="13" spans="1:39">
      <c r="B13" s="170">
        <v>8</v>
      </c>
      <c r="C13" s="119" t="s">
        <v>35</v>
      </c>
      <c r="D13" s="20">
        <v>1</v>
      </c>
      <c r="E13" s="20">
        <v>1</v>
      </c>
      <c r="F13" s="20">
        <v>1</v>
      </c>
      <c r="G13" s="20">
        <v>1</v>
      </c>
      <c r="H13" s="20">
        <v>1</v>
      </c>
      <c r="I13" s="18"/>
      <c r="L13" s="170">
        <v>7</v>
      </c>
      <c r="M13" s="113" t="str">
        <f t="shared" si="0"/>
        <v>User Proph 7</v>
      </c>
      <c r="N13" s="20">
        <v>0.1</v>
      </c>
      <c r="O13" s="20">
        <v>0.1</v>
      </c>
      <c r="P13" s="20">
        <v>0.1</v>
      </c>
      <c r="Q13" s="20">
        <v>0.1</v>
      </c>
      <c r="R13" s="20">
        <v>0.1</v>
      </c>
      <c r="S13" s="20">
        <v>0.1</v>
      </c>
      <c r="W13" s="18"/>
      <c r="AF13" s="170">
        <v>7</v>
      </c>
      <c r="AG13" s="113" t="str">
        <f t="shared" si="1"/>
        <v>User Proph 7</v>
      </c>
      <c r="AH13" s="20">
        <v>0.1</v>
      </c>
      <c r="AI13" s="20">
        <v>0.1</v>
      </c>
      <c r="AJ13" s="20">
        <v>0.1</v>
      </c>
      <c r="AK13" s="20">
        <v>0.1</v>
      </c>
      <c r="AL13" s="20">
        <v>0.1</v>
      </c>
      <c r="AM13" s="20">
        <v>0.1</v>
      </c>
    </row>
    <row r="14" spans="1:39">
      <c r="B14" s="170">
        <v>9</v>
      </c>
      <c r="C14" s="119" t="s">
        <v>36</v>
      </c>
      <c r="D14" s="20">
        <v>1</v>
      </c>
      <c r="E14" s="20">
        <v>1</v>
      </c>
      <c r="F14" s="20">
        <v>1</v>
      </c>
      <c r="G14" s="20">
        <v>1</v>
      </c>
      <c r="H14" s="20">
        <v>1</v>
      </c>
      <c r="I14" s="18"/>
      <c r="L14" s="170">
        <v>8</v>
      </c>
      <c r="M14" s="113" t="str">
        <f t="shared" si="0"/>
        <v>User Proph 8</v>
      </c>
      <c r="N14" s="20">
        <v>0.1</v>
      </c>
      <c r="O14" s="20">
        <v>0.1</v>
      </c>
      <c r="P14" s="20">
        <v>0.1</v>
      </c>
      <c r="Q14" s="20">
        <v>0.1</v>
      </c>
      <c r="R14" s="20">
        <v>0.1</v>
      </c>
      <c r="S14" s="20">
        <v>0.1</v>
      </c>
      <c r="W14" s="18"/>
      <c r="AF14" s="170">
        <v>8</v>
      </c>
      <c r="AG14" s="113" t="str">
        <f t="shared" si="1"/>
        <v>User Proph 8</v>
      </c>
      <c r="AH14" s="20">
        <v>0.1</v>
      </c>
      <c r="AI14" s="20">
        <v>0.1</v>
      </c>
      <c r="AJ14" s="20">
        <v>0.1</v>
      </c>
      <c r="AK14" s="20">
        <v>0.1</v>
      </c>
      <c r="AL14" s="20">
        <v>0.1</v>
      </c>
      <c r="AM14" s="20">
        <v>0.1</v>
      </c>
    </row>
    <row r="15" spans="1:39">
      <c r="B15" s="170">
        <v>10</v>
      </c>
      <c r="C15" s="119" t="s">
        <v>37</v>
      </c>
      <c r="D15" s="20">
        <v>1</v>
      </c>
      <c r="E15" s="20">
        <v>1</v>
      </c>
      <c r="F15" s="20">
        <v>1</v>
      </c>
      <c r="G15" s="20">
        <v>1</v>
      </c>
      <c r="H15" s="20">
        <v>1</v>
      </c>
      <c r="I15" s="18"/>
      <c r="L15" s="170">
        <v>9</v>
      </c>
      <c r="M15" s="113" t="str">
        <f t="shared" si="0"/>
        <v>User Proph 9</v>
      </c>
      <c r="N15" s="20">
        <v>0.1</v>
      </c>
      <c r="O15" s="20">
        <v>0.1</v>
      </c>
      <c r="P15" s="20">
        <v>0.1</v>
      </c>
      <c r="Q15" s="20">
        <v>0.1</v>
      </c>
      <c r="R15" s="20">
        <v>0.1</v>
      </c>
      <c r="S15" s="20">
        <v>0.1</v>
      </c>
      <c r="W15" s="18"/>
      <c r="AF15" s="170">
        <v>9</v>
      </c>
      <c r="AG15" s="113" t="str">
        <f t="shared" si="1"/>
        <v>User Proph 9</v>
      </c>
      <c r="AH15" s="20">
        <v>0.1</v>
      </c>
      <c r="AI15" s="20">
        <v>0.1</v>
      </c>
      <c r="AJ15" s="20">
        <v>0.1</v>
      </c>
      <c r="AK15" s="20">
        <v>0.1</v>
      </c>
      <c r="AL15" s="20">
        <v>0.1</v>
      </c>
      <c r="AM15" s="20">
        <v>0.1</v>
      </c>
    </row>
    <row r="16" spans="1:39">
      <c r="I16" s="18"/>
      <c r="L16" s="170">
        <v>10</v>
      </c>
      <c r="M16" s="113" t="str">
        <f t="shared" si="0"/>
        <v>User Proph 10</v>
      </c>
      <c r="N16" s="20">
        <v>0.1</v>
      </c>
      <c r="O16" s="20">
        <v>0.1</v>
      </c>
      <c r="P16" s="20">
        <v>0.1</v>
      </c>
      <c r="Q16" s="20">
        <v>0.1</v>
      </c>
      <c r="R16" s="20">
        <v>0.1</v>
      </c>
      <c r="S16" s="20">
        <v>0.1</v>
      </c>
      <c r="W16" s="18"/>
      <c r="AF16" s="170">
        <v>10</v>
      </c>
      <c r="AG16" s="113" t="str">
        <f t="shared" si="1"/>
        <v>User Proph 10</v>
      </c>
      <c r="AH16" s="20">
        <v>0.1</v>
      </c>
      <c r="AI16" s="20">
        <v>0.1</v>
      </c>
      <c r="AJ16" s="20">
        <v>0.1</v>
      </c>
      <c r="AK16" s="20">
        <v>0.1</v>
      </c>
      <c r="AL16" s="20">
        <v>0.1</v>
      </c>
      <c r="AM16" s="20">
        <v>0.1</v>
      </c>
    </row>
    <row r="17" spans="1:32">
      <c r="I17" s="18"/>
      <c r="W17" s="18"/>
    </row>
    <row r="18" spans="1:32">
      <c r="A18" s="12" t="s">
        <v>40</v>
      </c>
      <c r="I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75"/>
      <c r="AE18" s="18"/>
      <c r="AF18" s="18"/>
    </row>
    <row r="19" spans="1:32">
      <c r="B19" s="18"/>
      <c r="C19" s="18"/>
      <c r="D19" s="18"/>
      <c r="E19" s="18"/>
      <c r="F19" s="18"/>
      <c r="G19" s="18"/>
      <c r="H19" s="18"/>
      <c r="I19" s="18"/>
      <c r="K19" s="38" t="s">
        <v>316</v>
      </c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75"/>
      <c r="AE19" s="18"/>
      <c r="AF19" s="18"/>
    </row>
    <row r="20" spans="1:32">
      <c r="B20" s="51" t="s">
        <v>25</v>
      </c>
      <c r="C20" s="111" t="s">
        <v>26</v>
      </c>
      <c r="D20" s="51" t="str">
        <f>Simulation!B12</f>
        <v>LungCancer</v>
      </c>
      <c r="E20" s="51" t="str">
        <f>Simulation!B13</f>
        <v>COPD</v>
      </c>
      <c r="F20" s="51" t="str">
        <f>Simulation!B14</f>
        <v>MI</v>
      </c>
      <c r="G20" s="51" t="str">
        <f>Simulation!B15</f>
        <v>Stroke</v>
      </c>
      <c r="H20" s="51" t="str">
        <f>Simulation!B16</f>
        <v>OthEvent</v>
      </c>
      <c r="I20" s="18"/>
      <c r="L20" s="18"/>
      <c r="M20" s="18"/>
      <c r="N20" s="116"/>
      <c r="O20" s="116"/>
      <c r="P20" s="116"/>
      <c r="Q20" s="18"/>
      <c r="R20" s="18"/>
      <c r="S20" s="18"/>
      <c r="W20" s="18"/>
      <c r="X20" s="18"/>
      <c r="Y20" s="18"/>
      <c r="Z20" s="18"/>
      <c r="AA20" s="18"/>
      <c r="AB20" s="18"/>
      <c r="AC20" s="18"/>
      <c r="AD20" s="175"/>
      <c r="AE20" s="18"/>
      <c r="AF20" s="18"/>
    </row>
    <row r="21" spans="1:32">
      <c r="B21" s="170">
        <v>1</v>
      </c>
      <c r="C21" s="117" t="str">
        <f t="shared" ref="C21:C30" si="2">C6</f>
        <v>User Proph 1</v>
      </c>
      <c r="D21" s="20">
        <v>0.4</v>
      </c>
      <c r="E21" s="20">
        <v>1</v>
      </c>
      <c r="F21" s="20">
        <v>1</v>
      </c>
      <c r="G21" s="20">
        <v>1</v>
      </c>
      <c r="H21" s="20">
        <v>1</v>
      </c>
      <c r="I21" s="18"/>
      <c r="L21" s="38"/>
      <c r="M21" s="38"/>
      <c r="N21" s="110" t="s">
        <v>15</v>
      </c>
      <c r="O21" s="110"/>
      <c r="P21" s="110" t="s">
        <v>16</v>
      </c>
      <c r="Q21" s="110"/>
      <c r="R21" s="110" t="s">
        <v>17</v>
      </c>
      <c r="S21" s="110"/>
      <c r="W21" s="18"/>
      <c r="X21" s="18"/>
      <c r="Y21" s="18"/>
      <c r="Z21" s="18"/>
      <c r="AA21" s="18"/>
      <c r="AB21" s="18"/>
      <c r="AC21" s="18"/>
      <c r="AD21" s="175"/>
      <c r="AE21" s="18"/>
      <c r="AF21" s="18"/>
    </row>
    <row r="22" spans="1:32">
      <c r="B22" s="170">
        <v>2</v>
      </c>
      <c r="C22" s="117" t="str">
        <f t="shared" si="2"/>
        <v>User Proph 2</v>
      </c>
      <c r="D22" s="20">
        <v>1</v>
      </c>
      <c r="E22" s="20">
        <v>0.4</v>
      </c>
      <c r="F22" s="20">
        <v>1</v>
      </c>
      <c r="G22" s="20">
        <v>1</v>
      </c>
      <c r="H22" s="20">
        <v>1</v>
      </c>
      <c r="I22" s="18"/>
      <c r="L22" s="51" t="s">
        <v>25</v>
      </c>
      <c r="M22" s="115" t="s">
        <v>26</v>
      </c>
      <c r="N22" s="18" t="s">
        <v>13</v>
      </c>
      <c r="O22" s="18" t="s">
        <v>12</v>
      </c>
      <c r="P22" s="18" t="s">
        <v>13</v>
      </c>
      <c r="Q22" s="18" t="s">
        <v>12</v>
      </c>
      <c r="R22" s="18" t="s">
        <v>13</v>
      </c>
      <c r="S22" s="18" t="s">
        <v>12</v>
      </c>
      <c r="W22" s="18"/>
      <c r="X22" s="18"/>
      <c r="Y22" s="18"/>
      <c r="Z22" s="18"/>
      <c r="AA22" s="18"/>
      <c r="AB22" s="18"/>
      <c r="AC22" s="18"/>
      <c r="AD22" s="175"/>
      <c r="AE22" s="18"/>
      <c r="AF22" s="18"/>
    </row>
    <row r="23" spans="1:32">
      <c r="B23" s="170">
        <v>3</v>
      </c>
      <c r="C23" s="117" t="str">
        <f t="shared" si="2"/>
        <v>User Proph 3</v>
      </c>
      <c r="D23" s="20">
        <v>1</v>
      </c>
      <c r="E23" s="20">
        <v>1</v>
      </c>
      <c r="F23" s="20">
        <v>0.4</v>
      </c>
      <c r="G23" s="20">
        <v>1</v>
      </c>
      <c r="H23" s="20">
        <v>1</v>
      </c>
      <c r="I23" s="18"/>
      <c r="L23" s="170">
        <v>1</v>
      </c>
      <c r="M23" s="113" t="str">
        <f t="shared" ref="M23:M32" si="3">M7</f>
        <v>User Proph 1</v>
      </c>
      <c r="N23" s="20">
        <v>0.1</v>
      </c>
      <c r="O23" s="20">
        <v>0.1</v>
      </c>
      <c r="P23" s="20">
        <v>0.1</v>
      </c>
      <c r="Q23" s="20">
        <v>0.1</v>
      </c>
      <c r="R23" s="20">
        <v>0.1</v>
      </c>
      <c r="S23" s="20">
        <v>0.1</v>
      </c>
      <c r="W23" s="18"/>
      <c r="X23" s="18"/>
      <c r="Y23" s="18"/>
      <c r="Z23" s="18"/>
      <c r="AA23" s="18"/>
      <c r="AB23" s="18"/>
      <c r="AC23" s="18"/>
      <c r="AD23" s="175"/>
      <c r="AE23" s="18"/>
      <c r="AF23" s="18"/>
    </row>
    <row r="24" spans="1:32">
      <c r="B24" s="170">
        <v>4</v>
      </c>
      <c r="C24" s="117" t="str">
        <f t="shared" si="2"/>
        <v>User Proph 4</v>
      </c>
      <c r="D24" s="20">
        <v>1</v>
      </c>
      <c r="E24" s="20">
        <v>1</v>
      </c>
      <c r="F24" s="20">
        <v>1</v>
      </c>
      <c r="G24" s="20">
        <v>0.4</v>
      </c>
      <c r="H24" s="20">
        <v>1</v>
      </c>
      <c r="I24" s="18"/>
      <c r="L24" s="170">
        <v>2</v>
      </c>
      <c r="M24" s="113" t="str">
        <f t="shared" si="3"/>
        <v>User Proph 2</v>
      </c>
      <c r="N24" s="20">
        <v>0.1</v>
      </c>
      <c r="O24" s="20">
        <v>0.1</v>
      </c>
      <c r="P24" s="20">
        <v>0.1</v>
      </c>
      <c r="Q24" s="20">
        <v>0.1</v>
      </c>
      <c r="R24" s="20">
        <v>0.1</v>
      </c>
      <c r="S24" s="20">
        <v>0.1</v>
      </c>
      <c r="W24" s="18"/>
      <c r="X24" s="18"/>
      <c r="Y24" s="18"/>
      <c r="Z24" s="18"/>
      <c r="AA24" s="18"/>
      <c r="AB24" s="18"/>
      <c r="AC24" s="18"/>
      <c r="AD24" s="175"/>
      <c r="AE24" s="18"/>
      <c r="AF24" s="18"/>
    </row>
    <row r="25" spans="1:32">
      <c r="B25" s="170">
        <v>5</v>
      </c>
      <c r="C25" s="117" t="str">
        <f t="shared" si="2"/>
        <v>User Proph 5</v>
      </c>
      <c r="D25" s="20">
        <v>1</v>
      </c>
      <c r="E25" s="20">
        <v>1</v>
      </c>
      <c r="F25" s="20">
        <v>1</v>
      </c>
      <c r="G25" s="20">
        <v>1</v>
      </c>
      <c r="H25" s="20">
        <v>0.4</v>
      </c>
      <c r="I25" s="18"/>
      <c r="L25" s="170">
        <v>3</v>
      </c>
      <c r="M25" s="113" t="str">
        <f t="shared" si="3"/>
        <v>User Proph 3</v>
      </c>
      <c r="N25" s="20">
        <v>0.1</v>
      </c>
      <c r="O25" s="20">
        <v>0.1</v>
      </c>
      <c r="P25" s="20">
        <v>0.1</v>
      </c>
      <c r="Q25" s="20">
        <v>0.1</v>
      </c>
      <c r="R25" s="20">
        <v>0.1</v>
      </c>
      <c r="S25" s="20">
        <v>0.1</v>
      </c>
      <c r="W25" s="18"/>
      <c r="X25" s="18"/>
      <c r="Y25" s="18"/>
      <c r="Z25" s="18"/>
      <c r="AA25" s="18"/>
      <c r="AB25" s="18"/>
      <c r="AC25" s="18"/>
      <c r="AD25" s="175"/>
      <c r="AE25" s="18"/>
      <c r="AF25" s="18"/>
    </row>
    <row r="26" spans="1:32">
      <c r="B26" s="170">
        <v>6</v>
      </c>
      <c r="C26" s="117" t="str">
        <f t="shared" si="2"/>
        <v>User Proph 6</v>
      </c>
      <c r="D26" s="20">
        <v>1</v>
      </c>
      <c r="E26" s="20">
        <v>1</v>
      </c>
      <c r="F26" s="20">
        <v>1</v>
      </c>
      <c r="G26" s="20">
        <v>1</v>
      </c>
      <c r="H26" s="20">
        <v>1</v>
      </c>
      <c r="I26" s="18"/>
      <c r="L26" s="170">
        <v>4</v>
      </c>
      <c r="M26" s="113" t="str">
        <f t="shared" si="3"/>
        <v>User Proph 4</v>
      </c>
      <c r="N26" s="20">
        <v>0.1</v>
      </c>
      <c r="O26" s="20">
        <v>0.1</v>
      </c>
      <c r="P26" s="20">
        <v>0.1</v>
      </c>
      <c r="Q26" s="20">
        <v>0.1</v>
      </c>
      <c r="R26" s="20">
        <v>0.1</v>
      </c>
      <c r="S26" s="20">
        <v>0.1</v>
      </c>
      <c r="W26" s="18"/>
      <c r="X26" s="18"/>
      <c r="Y26" s="18"/>
      <c r="Z26" s="18"/>
      <c r="AA26" s="18"/>
      <c r="AB26" s="18"/>
      <c r="AC26" s="18"/>
      <c r="AD26" s="175"/>
      <c r="AE26" s="18"/>
      <c r="AF26" s="18"/>
    </row>
    <row r="27" spans="1:32">
      <c r="B27" s="170">
        <v>7</v>
      </c>
      <c r="C27" s="117" t="str">
        <f t="shared" si="2"/>
        <v>User Proph 7</v>
      </c>
      <c r="D27" s="20">
        <v>1</v>
      </c>
      <c r="E27" s="20">
        <v>1</v>
      </c>
      <c r="F27" s="20">
        <v>1</v>
      </c>
      <c r="G27" s="20">
        <v>1</v>
      </c>
      <c r="H27" s="20">
        <v>1</v>
      </c>
      <c r="I27" s="18"/>
      <c r="L27" s="170">
        <v>5</v>
      </c>
      <c r="M27" s="113" t="str">
        <f t="shared" si="3"/>
        <v>User Proph 5</v>
      </c>
      <c r="N27" s="20">
        <v>0.1</v>
      </c>
      <c r="O27" s="20">
        <v>0.1</v>
      </c>
      <c r="P27" s="20">
        <v>0.1</v>
      </c>
      <c r="Q27" s="20">
        <v>0.1</v>
      </c>
      <c r="R27" s="20">
        <v>0.1</v>
      </c>
      <c r="S27" s="20">
        <v>0.1</v>
      </c>
      <c r="W27" s="18"/>
      <c r="X27" s="18"/>
      <c r="Y27" s="18"/>
      <c r="Z27" s="18"/>
      <c r="AA27" s="18"/>
      <c r="AB27" s="18"/>
      <c r="AC27" s="18"/>
      <c r="AD27" s="175"/>
      <c r="AE27" s="18"/>
      <c r="AF27" s="18"/>
    </row>
    <row r="28" spans="1:32">
      <c r="B28" s="170">
        <v>8</v>
      </c>
      <c r="C28" s="117" t="str">
        <f t="shared" si="2"/>
        <v>User Proph 8</v>
      </c>
      <c r="D28" s="20">
        <v>1</v>
      </c>
      <c r="E28" s="20">
        <v>1</v>
      </c>
      <c r="F28" s="20">
        <v>1</v>
      </c>
      <c r="G28" s="20">
        <v>1</v>
      </c>
      <c r="H28" s="20">
        <v>1</v>
      </c>
      <c r="I28" s="18"/>
      <c r="L28" s="170">
        <v>6</v>
      </c>
      <c r="M28" s="113" t="str">
        <f t="shared" si="3"/>
        <v>User Proph 6</v>
      </c>
      <c r="N28" s="20">
        <v>0.1</v>
      </c>
      <c r="O28" s="20">
        <v>0.1</v>
      </c>
      <c r="P28" s="20">
        <v>0.1</v>
      </c>
      <c r="Q28" s="20">
        <v>0.1</v>
      </c>
      <c r="R28" s="20">
        <v>0.1</v>
      </c>
      <c r="S28" s="20">
        <v>0.1</v>
      </c>
      <c r="W28" s="18"/>
      <c r="X28" s="18"/>
      <c r="Y28" s="18"/>
      <c r="Z28" s="18"/>
      <c r="AA28" s="18"/>
      <c r="AB28" s="18"/>
      <c r="AC28" s="18"/>
      <c r="AD28" s="175"/>
      <c r="AE28" s="18"/>
      <c r="AF28" s="18"/>
    </row>
    <row r="29" spans="1:32">
      <c r="B29" s="170">
        <v>9</v>
      </c>
      <c r="C29" s="117" t="str">
        <f t="shared" si="2"/>
        <v>User Proph 9</v>
      </c>
      <c r="D29" s="20">
        <v>1</v>
      </c>
      <c r="E29" s="20">
        <v>1</v>
      </c>
      <c r="F29" s="20">
        <v>1</v>
      </c>
      <c r="G29" s="20">
        <v>1</v>
      </c>
      <c r="H29" s="20">
        <v>1</v>
      </c>
      <c r="I29" s="18"/>
      <c r="L29" s="170">
        <v>7</v>
      </c>
      <c r="M29" s="113" t="str">
        <f t="shared" si="3"/>
        <v>User Proph 7</v>
      </c>
      <c r="N29" s="20">
        <v>0.1</v>
      </c>
      <c r="O29" s="20">
        <v>0.1</v>
      </c>
      <c r="P29" s="20">
        <v>0.1</v>
      </c>
      <c r="Q29" s="20">
        <v>0.1</v>
      </c>
      <c r="R29" s="20">
        <v>0.1</v>
      </c>
      <c r="S29" s="20">
        <v>0.1</v>
      </c>
      <c r="W29" s="18"/>
      <c r="X29" s="18"/>
      <c r="Y29" s="18"/>
      <c r="Z29" s="18"/>
      <c r="AA29" s="18"/>
      <c r="AB29" s="18"/>
      <c r="AC29" s="18"/>
      <c r="AD29" s="175"/>
      <c r="AE29" s="18"/>
      <c r="AF29" s="18"/>
    </row>
    <row r="30" spans="1:32">
      <c r="B30" s="170">
        <v>10</v>
      </c>
      <c r="C30" s="117" t="str">
        <f t="shared" si="2"/>
        <v>User Proph 10</v>
      </c>
      <c r="D30" s="20">
        <v>1</v>
      </c>
      <c r="E30" s="20">
        <v>1</v>
      </c>
      <c r="F30" s="20">
        <v>1</v>
      </c>
      <c r="G30" s="20">
        <v>1</v>
      </c>
      <c r="H30" s="20">
        <v>1</v>
      </c>
      <c r="I30" s="18"/>
      <c r="L30" s="170">
        <v>8</v>
      </c>
      <c r="M30" s="113" t="str">
        <f t="shared" si="3"/>
        <v>User Proph 8</v>
      </c>
      <c r="N30" s="20">
        <v>0.1</v>
      </c>
      <c r="O30" s="20">
        <v>0.1</v>
      </c>
      <c r="P30" s="20">
        <v>0.1</v>
      </c>
      <c r="Q30" s="20">
        <v>0.1</v>
      </c>
      <c r="R30" s="20">
        <v>0.1</v>
      </c>
      <c r="S30" s="20">
        <v>0.1</v>
      </c>
      <c r="W30" s="18"/>
      <c r="X30" s="18"/>
      <c r="Y30" s="18"/>
      <c r="Z30" s="18"/>
      <c r="AA30" s="18"/>
      <c r="AB30" s="18"/>
      <c r="AC30" s="18"/>
      <c r="AD30" s="175"/>
      <c r="AE30" s="18"/>
      <c r="AF30" s="18"/>
    </row>
    <row r="31" spans="1:32">
      <c r="I31" s="18"/>
      <c r="L31" s="170">
        <v>9</v>
      </c>
      <c r="M31" s="113" t="str">
        <f t="shared" si="3"/>
        <v>User Proph 9</v>
      </c>
      <c r="N31" s="20">
        <v>0.1</v>
      </c>
      <c r="O31" s="20">
        <v>0.1</v>
      </c>
      <c r="P31" s="20">
        <v>0.1</v>
      </c>
      <c r="Q31" s="20">
        <v>0.1</v>
      </c>
      <c r="R31" s="20">
        <v>0.1</v>
      </c>
      <c r="S31" s="20">
        <v>0.1</v>
      </c>
      <c r="W31" s="18"/>
      <c r="X31" s="18"/>
      <c r="Y31" s="18"/>
      <c r="Z31" s="18"/>
      <c r="AA31" s="18"/>
      <c r="AB31" s="18"/>
      <c r="AC31" s="18"/>
      <c r="AD31" s="175"/>
      <c r="AE31" s="18"/>
      <c r="AF31" s="18"/>
    </row>
    <row r="32" spans="1:32">
      <c r="B32" s="18"/>
      <c r="C32" s="18"/>
      <c r="D32" s="18"/>
      <c r="E32" s="18"/>
      <c r="F32" s="18"/>
      <c r="G32" s="18"/>
      <c r="H32" s="18"/>
      <c r="I32" s="18"/>
      <c r="L32" s="170">
        <v>10</v>
      </c>
      <c r="M32" s="113" t="str">
        <f t="shared" si="3"/>
        <v>User Proph 10</v>
      </c>
      <c r="N32" s="20">
        <v>0.1</v>
      </c>
      <c r="O32" s="20">
        <v>0.1</v>
      </c>
      <c r="P32" s="20">
        <v>0.1</v>
      </c>
      <c r="Q32" s="20">
        <v>0.1</v>
      </c>
      <c r="R32" s="20">
        <v>0.1</v>
      </c>
      <c r="S32" s="20">
        <v>0.1</v>
      </c>
      <c r="W32" s="18"/>
      <c r="X32" s="18"/>
      <c r="Y32" s="18"/>
      <c r="Z32" s="18"/>
      <c r="AA32" s="18"/>
      <c r="AB32" s="18"/>
      <c r="AC32" s="18"/>
      <c r="AD32" s="175"/>
      <c r="AE32" s="18"/>
      <c r="AF32" s="18"/>
    </row>
    <row r="33" spans="1:32">
      <c r="A33" s="12" t="s">
        <v>41</v>
      </c>
      <c r="B33" s="18"/>
      <c r="C33" s="18"/>
      <c r="D33" s="18"/>
      <c r="E33" s="18"/>
      <c r="F33" s="18"/>
      <c r="G33" s="18"/>
      <c r="H33" s="18"/>
      <c r="I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75"/>
      <c r="AE33" s="18"/>
      <c r="AF33" s="18"/>
    </row>
    <row r="34" spans="1:32"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75"/>
      <c r="AE34" s="18"/>
      <c r="AF34" s="18"/>
    </row>
    <row r="35" spans="1:32">
      <c r="B35" s="51" t="s">
        <v>25</v>
      </c>
      <c r="C35" s="111" t="s">
        <v>26</v>
      </c>
      <c r="D35" s="51" t="s">
        <v>38</v>
      </c>
      <c r="E35" s="111" t="s">
        <v>312</v>
      </c>
      <c r="F35" s="111" t="s">
        <v>111</v>
      </c>
      <c r="G35" s="18" t="s">
        <v>313</v>
      </c>
      <c r="J35" s="174"/>
      <c r="K35" s="38" t="s">
        <v>317</v>
      </c>
      <c r="AF35" s="114"/>
    </row>
    <row r="36" spans="1:32">
      <c r="B36" s="170">
        <v>1</v>
      </c>
      <c r="C36" s="117" t="str">
        <f t="shared" ref="C36:C45" si="4">C21</f>
        <v>User Proph 1</v>
      </c>
      <c r="D36" s="20">
        <v>1E-3</v>
      </c>
      <c r="E36" s="119">
        <v>0.01</v>
      </c>
      <c r="F36" s="119">
        <v>0</v>
      </c>
      <c r="G36" s="118">
        <v>0</v>
      </c>
      <c r="L36" s="18"/>
      <c r="M36" s="18"/>
      <c r="O36" s="114"/>
      <c r="P36" s="114"/>
      <c r="Q36" s="114"/>
      <c r="R36" s="114"/>
      <c r="S36" s="114"/>
      <c r="T36" s="12" t="s">
        <v>22</v>
      </c>
      <c r="U36" s="114"/>
      <c r="V36" s="114"/>
      <c r="W36" s="114"/>
      <c r="X36" s="114"/>
      <c r="Y36" s="114"/>
      <c r="Z36" s="114"/>
      <c r="AA36" s="114"/>
      <c r="AB36" s="114"/>
      <c r="AF36" s="18"/>
    </row>
    <row r="37" spans="1:32">
      <c r="B37" s="170">
        <v>2</v>
      </c>
      <c r="C37" s="117" t="str">
        <f t="shared" si="4"/>
        <v>User Proph 2</v>
      </c>
      <c r="D37" s="20">
        <v>1E-3</v>
      </c>
      <c r="E37" s="119">
        <v>0.01</v>
      </c>
      <c r="F37" s="119">
        <v>0</v>
      </c>
      <c r="G37" s="118">
        <v>0</v>
      </c>
      <c r="K37" s="114" t="s">
        <v>13</v>
      </c>
      <c r="L37" s="51" t="s">
        <v>25</v>
      </c>
      <c r="M37" s="115" t="s">
        <v>26</v>
      </c>
      <c r="N37" s="18" t="s">
        <v>98</v>
      </c>
      <c r="O37" s="18" t="s">
        <v>82</v>
      </c>
      <c r="P37" s="18" t="s">
        <v>83</v>
      </c>
      <c r="Q37" s="18" t="s">
        <v>84</v>
      </c>
      <c r="R37" s="18" t="s">
        <v>85</v>
      </c>
      <c r="S37" s="18" t="s">
        <v>86</v>
      </c>
      <c r="T37" s="18" t="s">
        <v>87</v>
      </c>
      <c r="U37" s="18" t="s">
        <v>88</v>
      </c>
      <c r="V37" s="18" t="s">
        <v>89</v>
      </c>
      <c r="W37" s="18" t="s">
        <v>90</v>
      </c>
      <c r="X37" s="18" t="s">
        <v>91</v>
      </c>
      <c r="Y37" s="18" t="s">
        <v>92</v>
      </c>
      <c r="Z37" s="18" t="s">
        <v>93</v>
      </c>
      <c r="AA37" s="136" t="s">
        <v>94</v>
      </c>
      <c r="AB37" s="137" t="s">
        <v>95</v>
      </c>
      <c r="AF37" s="59"/>
    </row>
    <row r="38" spans="1:32">
      <c r="B38" s="170">
        <v>3</v>
      </c>
      <c r="C38" s="117" t="str">
        <f t="shared" si="4"/>
        <v>User Proph 3</v>
      </c>
      <c r="D38" s="20">
        <v>1E-3</v>
      </c>
      <c r="E38" s="119">
        <v>0.01</v>
      </c>
      <c r="F38" s="119">
        <v>0</v>
      </c>
      <c r="G38" s="118">
        <v>0</v>
      </c>
      <c r="L38" s="170">
        <v>1</v>
      </c>
      <c r="M38" s="113" t="str">
        <f t="shared" ref="M38:M47" si="5">M7</f>
        <v>User Proph 1</v>
      </c>
      <c r="N38" s="20">
        <v>1</v>
      </c>
      <c r="O38" s="20">
        <v>1</v>
      </c>
      <c r="P38" s="20">
        <v>1</v>
      </c>
      <c r="Q38" s="20">
        <v>1</v>
      </c>
      <c r="R38" s="20">
        <v>1</v>
      </c>
      <c r="S38" s="20">
        <v>1</v>
      </c>
      <c r="T38" s="20">
        <v>1</v>
      </c>
      <c r="U38" s="20">
        <v>1</v>
      </c>
      <c r="V38" s="20">
        <v>1</v>
      </c>
      <c r="W38" s="20">
        <v>1</v>
      </c>
      <c r="X38" s="20">
        <v>1</v>
      </c>
      <c r="Y38" s="20">
        <v>1</v>
      </c>
      <c r="Z38" s="20">
        <v>1</v>
      </c>
      <c r="AA38" s="20">
        <v>1</v>
      </c>
      <c r="AB38" s="20">
        <v>1</v>
      </c>
      <c r="AF38" s="59"/>
    </row>
    <row r="39" spans="1:32">
      <c r="B39" s="170">
        <v>4</v>
      </c>
      <c r="C39" s="117" t="str">
        <f t="shared" si="4"/>
        <v>User Proph 4</v>
      </c>
      <c r="D39" s="20">
        <v>1E-3</v>
      </c>
      <c r="E39" s="119">
        <v>0.01</v>
      </c>
      <c r="F39" s="119">
        <v>0</v>
      </c>
      <c r="G39" s="118">
        <v>0</v>
      </c>
      <c r="L39" s="170">
        <v>2</v>
      </c>
      <c r="M39" s="113" t="str">
        <f t="shared" si="5"/>
        <v>User Proph 2</v>
      </c>
      <c r="N39" s="20">
        <v>1</v>
      </c>
      <c r="O39" s="20">
        <v>1</v>
      </c>
      <c r="P39" s="20">
        <v>1</v>
      </c>
      <c r="Q39" s="20">
        <v>1</v>
      </c>
      <c r="R39" s="20">
        <v>1</v>
      </c>
      <c r="S39" s="20">
        <v>1</v>
      </c>
      <c r="T39" s="20">
        <v>1</v>
      </c>
      <c r="U39" s="20">
        <v>1</v>
      </c>
      <c r="V39" s="20">
        <v>1</v>
      </c>
      <c r="W39" s="20">
        <v>1</v>
      </c>
      <c r="X39" s="20">
        <v>1</v>
      </c>
      <c r="Y39" s="20">
        <v>1</v>
      </c>
      <c r="Z39" s="20">
        <v>1</v>
      </c>
      <c r="AA39" s="20">
        <v>1</v>
      </c>
      <c r="AB39" s="20">
        <v>1</v>
      </c>
      <c r="AF39" s="59"/>
    </row>
    <row r="40" spans="1:32">
      <c r="B40" s="170">
        <v>5</v>
      </c>
      <c r="C40" s="117" t="str">
        <f t="shared" si="4"/>
        <v>User Proph 5</v>
      </c>
      <c r="D40" s="20">
        <v>1E-3</v>
      </c>
      <c r="E40" s="119">
        <v>0.01</v>
      </c>
      <c r="F40" s="119">
        <v>0</v>
      </c>
      <c r="G40" s="118">
        <v>0</v>
      </c>
      <c r="L40" s="170">
        <v>3</v>
      </c>
      <c r="M40" s="113" t="str">
        <f t="shared" si="5"/>
        <v>User Proph 3</v>
      </c>
      <c r="N40" s="20">
        <v>1</v>
      </c>
      <c r="O40" s="20">
        <v>1</v>
      </c>
      <c r="P40" s="20">
        <v>1</v>
      </c>
      <c r="Q40" s="20">
        <v>1</v>
      </c>
      <c r="R40" s="20">
        <v>1</v>
      </c>
      <c r="S40" s="20">
        <v>1</v>
      </c>
      <c r="T40" s="20">
        <v>1</v>
      </c>
      <c r="U40" s="20">
        <v>1</v>
      </c>
      <c r="V40" s="20">
        <v>1</v>
      </c>
      <c r="W40" s="20">
        <v>1</v>
      </c>
      <c r="X40" s="20">
        <v>1</v>
      </c>
      <c r="Y40" s="20">
        <v>1</v>
      </c>
      <c r="Z40" s="20">
        <v>1</v>
      </c>
      <c r="AA40" s="20">
        <v>1</v>
      </c>
      <c r="AB40" s="20">
        <v>1</v>
      </c>
      <c r="AF40" s="59"/>
    </row>
    <row r="41" spans="1:32">
      <c r="B41" s="170">
        <v>6</v>
      </c>
      <c r="C41" s="117" t="str">
        <f t="shared" si="4"/>
        <v>User Proph 6</v>
      </c>
      <c r="D41" s="20">
        <v>1E-3</v>
      </c>
      <c r="E41" s="119">
        <v>0.01</v>
      </c>
      <c r="F41" s="119">
        <v>0</v>
      </c>
      <c r="G41" s="118">
        <v>0</v>
      </c>
      <c r="L41" s="170">
        <v>4</v>
      </c>
      <c r="M41" s="113" t="str">
        <f t="shared" si="5"/>
        <v>User Proph 4</v>
      </c>
      <c r="N41" s="20">
        <v>1</v>
      </c>
      <c r="O41" s="20">
        <v>1</v>
      </c>
      <c r="P41" s="20">
        <v>1</v>
      </c>
      <c r="Q41" s="20">
        <v>1</v>
      </c>
      <c r="R41" s="20">
        <v>1</v>
      </c>
      <c r="S41" s="20">
        <v>1</v>
      </c>
      <c r="T41" s="20">
        <v>1</v>
      </c>
      <c r="U41" s="20">
        <v>1</v>
      </c>
      <c r="V41" s="20">
        <v>1</v>
      </c>
      <c r="W41" s="20">
        <v>1</v>
      </c>
      <c r="X41" s="20">
        <v>1</v>
      </c>
      <c r="Y41" s="20">
        <v>1</v>
      </c>
      <c r="Z41" s="20">
        <v>1</v>
      </c>
      <c r="AA41" s="20">
        <v>1</v>
      </c>
      <c r="AB41" s="20">
        <v>1</v>
      </c>
      <c r="AF41" s="59"/>
    </row>
    <row r="42" spans="1:32">
      <c r="B42" s="170">
        <v>7</v>
      </c>
      <c r="C42" s="117" t="str">
        <f t="shared" si="4"/>
        <v>User Proph 7</v>
      </c>
      <c r="D42" s="20">
        <v>1E-3</v>
      </c>
      <c r="E42" s="119">
        <v>0.01</v>
      </c>
      <c r="F42" s="119">
        <v>0</v>
      </c>
      <c r="G42" s="118">
        <v>0</v>
      </c>
      <c r="L42" s="170">
        <v>5</v>
      </c>
      <c r="M42" s="113" t="str">
        <f t="shared" si="5"/>
        <v>User Proph 5</v>
      </c>
      <c r="N42" s="20">
        <v>1</v>
      </c>
      <c r="O42" s="20">
        <v>1</v>
      </c>
      <c r="P42" s="20">
        <v>1</v>
      </c>
      <c r="Q42" s="20">
        <v>1</v>
      </c>
      <c r="R42" s="20">
        <v>1</v>
      </c>
      <c r="S42" s="20">
        <v>1</v>
      </c>
      <c r="T42" s="20">
        <v>1</v>
      </c>
      <c r="U42" s="20">
        <v>1</v>
      </c>
      <c r="V42" s="20">
        <v>1</v>
      </c>
      <c r="W42" s="20">
        <v>1</v>
      </c>
      <c r="X42" s="20">
        <v>1</v>
      </c>
      <c r="Y42" s="20">
        <v>1</v>
      </c>
      <c r="Z42" s="20">
        <v>1</v>
      </c>
      <c r="AA42" s="20">
        <v>1</v>
      </c>
      <c r="AB42" s="20">
        <v>1</v>
      </c>
      <c r="AF42" s="59"/>
    </row>
    <row r="43" spans="1:32">
      <c r="B43" s="170">
        <v>8</v>
      </c>
      <c r="C43" s="117" t="str">
        <f t="shared" si="4"/>
        <v>User Proph 8</v>
      </c>
      <c r="D43" s="20">
        <v>1E-3</v>
      </c>
      <c r="E43" s="119">
        <v>0.01</v>
      </c>
      <c r="F43" s="119">
        <v>0</v>
      </c>
      <c r="G43" s="118">
        <v>0</v>
      </c>
      <c r="L43" s="170">
        <v>6</v>
      </c>
      <c r="M43" s="113" t="str">
        <f t="shared" si="5"/>
        <v>User Proph 6</v>
      </c>
      <c r="N43" s="20">
        <v>1</v>
      </c>
      <c r="O43" s="20">
        <v>1</v>
      </c>
      <c r="P43" s="20">
        <v>1</v>
      </c>
      <c r="Q43" s="20">
        <v>1</v>
      </c>
      <c r="R43" s="20">
        <v>1</v>
      </c>
      <c r="S43" s="20">
        <v>1</v>
      </c>
      <c r="T43" s="20">
        <v>1</v>
      </c>
      <c r="U43" s="20">
        <v>1</v>
      </c>
      <c r="V43" s="20">
        <v>1</v>
      </c>
      <c r="W43" s="20">
        <v>1</v>
      </c>
      <c r="X43" s="20">
        <v>1</v>
      </c>
      <c r="Y43" s="20">
        <v>1</v>
      </c>
      <c r="Z43" s="20">
        <v>1</v>
      </c>
      <c r="AA43" s="20">
        <v>1</v>
      </c>
      <c r="AB43" s="20">
        <v>1</v>
      </c>
      <c r="AF43" s="59"/>
    </row>
    <row r="44" spans="1:32">
      <c r="B44" s="170">
        <v>9</v>
      </c>
      <c r="C44" s="117" t="str">
        <f t="shared" si="4"/>
        <v>User Proph 9</v>
      </c>
      <c r="D44" s="20">
        <v>1E-3</v>
      </c>
      <c r="E44" s="119">
        <v>0.01</v>
      </c>
      <c r="F44" s="119">
        <v>0</v>
      </c>
      <c r="G44" s="118">
        <v>0</v>
      </c>
      <c r="L44" s="170">
        <v>7</v>
      </c>
      <c r="M44" s="113" t="str">
        <f t="shared" si="5"/>
        <v>User Proph 7</v>
      </c>
      <c r="N44" s="20">
        <v>1</v>
      </c>
      <c r="O44" s="20">
        <v>1</v>
      </c>
      <c r="P44" s="20">
        <v>1</v>
      </c>
      <c r="Q44" s="20">
        <v>1</v>
      </c>
      <c r="R44" s="20">
        <v>1</v>
      </c>
      <c r="S44" s="20">
        <v>1</v>
      </c>
      <c r="T44" s="20">
        <v>1</v>
      </c>
      <c r="U44" s="20">
        <v>1</v>
      </c>
      <c r="V44" s="20">
        <v>1</v>
      </c>
      <c r="W44" s="20">
        <v>1</v>
      </c>
      <c r="X44" s="20">
        <v>1</v>
      </c>
      <c r="Y44" s="20">
        <v>1</v>
      </c>
      <c r="Z44" s="20">
        <v>1</v>
      </c>
      <c r="AA44" s="20">
        <v>1</v>
      </c>
      <c r="AB44" s="20">
        <v>1</v>
      </c>
      <c r="AF44" s="59"/>
    </row>
    <row r="45" spans="1:32">
      <c r="B45" s="170">
        <v>10</v>
      </c>
      <c r="C45" s="117" t="str">
        <f t="shared" si="4"/>
        <v>User Proph 10</v>
      </c>
      <c r="D45" s="20">
        <v>1E-3</v>
      </c>
      <c r="E45" s="119">
        <v>0.01</v>
      </c>
      <c r="F45" s="119">
        <v>0</v>
      </c>
      <c r="G45" s="118">
        <v>0</v>
      </c>
      <c r="L45" s="170">
        <v>8</v>
      </c>
      <c r="M45" s="113" t="str">
        <f t="shared" si="5"/>
        <v>User Proph 8</v>
      </c>
      <c r="N45" s="20">
        <v>1</v>
      </c>
      <c r="O45" s="20">
        <v>1</v>
      </c>
      <c r="P45" s="20">
        <v>1</v>
      </c>
      <c r="Q45" s="20">
        <v>1</v>
      </c>
      <c r="R45" s="20">
        <v>1</v>
      </c>
      <c r="S45" s="20">
        <v>1</v>
      </c>
      <c r="T45" s="20">
        <v>1</v>
      </c>
      <c r="U45" s="20">
        <v>1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B45" s="20">
        <v>1</v>
      </c>
      <c r="AF45" s="59"/>
    </row>
    <row r="46" spans="1:32">
      <c r="B46" s="18"/>
      <c r="C46" s="18"/>
      <c r="D46" s="18"/>
      <c r="E46" s="18"/>
      <c r="F46" s="30" t="s">
        <v>42</v>
      </c>
      <c r="G46" s="30" t="s">
        <v>42</v>
      </c>
      <c r="L46" s="170">
        <v>9</v>
      </c>
      <c r="M46" s="113" t="str">
        <f t="shared" si="5"/>
        <v>User Proph 9</v>
      </c>
      <c r="N46" s="20">
        <v>1</v>
      </c>
      <c r="O46" s="20">
        <v>1</v>
      </c>
      <c r="P46" s="20">
        <v>1</v>
      </c>
      <c r="Q46" s="20">
        <v>1</v>
      </c>
      <c r="R46" s="20">
        <v>1</v>
      </c>
      <c r="S46" s="20">
        <v>1</v>
      </c>
      <c r="T46" s="20">
        <v>1</v>
      </c>
      <c r="U46" s="20">
        <v>1</v>
      </c>
      <c r="V46" s="20">
        <v>1</v>
      </c>
      <c r="W46" s="20">
        <v>1</v>
      </c>
      <c r="X46" s="20">
        <v>1</v>
      </c>
      <c r="Y46" s="20">
        <v>1</v>
      </c>
      <c r="Z46" s="20">
        <v>1</v>
      </c>
      <c r="AA46" s="20">
        <v>1</v>
      </c>
      <c r="AB46" s="20">
        <v>1</v>
      </c>
      <c r="AF46" s="59"/>
    </row>
    <row r="47" spans="1:32">
      <c r="L47" s="170">
        <v>10</v>
      </c>
      <c r="M47" s="113" t="str">
        <f t="shared" si="5"/>
        <v>User Proph 10</v>
      </c>
      <c r="N47" s="20">
        <v>1</v>
      </c>
      <c r="O47" s="20">
        <v>1</v>
      </c>
      <c r="P47" s="20">
        <v>1</v>
      </c>
      <c r="Q47" s="20">
        <v>1</v>
      </c>
      <c r="R47" s="20">
        <v>1</v>
      </c>
      <c r="S47" s="20">
        <v>1</v>
      </c>
      <c r="T47" s="20">
        <v>1</v>
      </c>
      <c r="U47" s="20">
        <v>1</v>
      </c>
      <c r="V47" s="20">
        <v>1</v>
      </c>
      <c r="W47" s="20">
        <v>1</v>
      </c>
      <c r="X47" s="20">
        <v>1</v>
      </c>
      <c r="Y47" s="20">
        <v>1</v>
      </c>
      <c r="Z47" s="20">
        <v>1</v>
      </c>
      <c r="AA47" s="20">
        <v>1</v>
      </c>
      <c r="AB47" s="20">
        <v>1</v>
      </c>
      <c r="AF47" s="18"/>
    </row>
    <row r="48" spans="1:32">
      <c r="AF48" s="114"/>
    </row>
    <row r="49" spans="11:32">
      <c r="L49" s="18"/>
      <c r="M49" s="18"/>
      <c r="O49" s="114"/>
      <c r="P49" s="114"/>
      <c r="Q49" s="114"/>
      <c r="R49" s="114"/>
      <c r="S49" s="114"/>
      <c r="T49" s="12" t="s">
        <v>22</v>
      </c>
      <c r="U49" s="114"/>
      <c r="V49" s="114"/>
      <c r="W49" s="114"/>
      <c r="X49" s="114"/>
      <c r="Y49" s="114"/>
      <c r="Z49" s="114"/>
      <c r="AA49" s="114"/>
      <c r="AB49" s="114"/>
      <c r="AF49" s="18"/>
    </row>
    <row r="50" spans="11:32">
      <c r="K50" s="114" t="s">
        <v>12</v>
      </c>
      <c r="L50" s="51" t="s">
        <v>25</v>
      </c>
      <c r="M50" s="115" t="s">
        <v>26</v>
      </c>
      <c r="N50" s="18" t="s">
        <v>98</v>
      </c>
      <c r="O50" s="18" t="s">
        <v>82</v>
      </c>
      <c r="P50" s="18" t="s">
        <v>83</v>
      </c>
      <c r="Q50" s="18" t="s">
        <v>84</v>
      </c>
      <c r="R50" s="18" t="s">
        <v>85</v>
      </c>
      <c r="S50" s="18" t="s">
        <v>86</v>
      </c>
      <c r="T50" s="18" t="s">
        <v>87</v>
      </c>
      <c r="U50" s="18" t="s">
        <v>88</v>
      </c>
      <c r="V50" s="18" t="s">
        <v>89</v>
      </c>
      <c r="W50" s="18" t="s">
        <v>90</v>
      </c>
      <c r="X50" s="18" t="s">
        <v>91</v>
      </c>
      <c r="Y50" s="18" t="s">
        <v>92</v>
      </c>
      <c r="Z50" s="18" t="s">
        <v>93</v>
      </c>
      <c r="AA50" s="136" t="s">
        <v>94</v>
      </c>
      <c r="AB50" s="137" t="s">
        <v>95</v>
      </c>
      <c r="AF50" s="59"/>
    </row>
    <row r="51" spans="11:32">
      <c r="L51" s="170">
        <v>1</v>
      </c>
      <c r="M51" s="113" t="str">
        <f t="shared" ref="M51:M60" si="6">M38</f>
        <v>User Proph 1</v>
      </c>
      <c r="N51" s="20">
        <v>1</v>
      </c>
      <c r="O51" s="20">
        <v>1</v>
      </c>
      <c r="P51" s="20">
        <v>1</v>
      </c>
      <c r="Q51" s="20">
        <v>1</v>
      </c>
      <c r="R51" s="20">
        <v>1</v>
      </c>
      <c r="S51" s="20">
        <v>1</v>
      </c>
      <c r="T51" s="20">
        <v>1</v>
      </c>
      <c r="U51" s="20">
        <v>1</v>
      </c>
      <c r="V51" s="20">
        <v>1</v>
      </c>
      <c r="W51" s="20">
        <v>1</v>
      </c>
      <c r="X51" s="20">
        <v>1</v>
      </c>
      <c r="Y51" s="20">
        <v>1</v>
      </c>
      <c r="Z51" s="20">
        <v>1</v>
      </c>
      <c r="AA51" s="20">
        <v>1</v>
      </c>
      <c r="AB51" s="20">
        <v>1</v>
      </c>
      <c r="AF51" s="59"/>
    </row>
    <row r="52" spans="11:32">
      <c r="L52" s="170">
        <v>2</v>
      </c>
      <c r="M52" s="113" t="str">
        <f t="shared" si="6"/>
        <v>User Proph 2</v>
      </c>
      <c r="N52" s="20">
        <v>1</v>
      </c>
      <c r="O52" s="20">
        <v>1</v>
      </c>
      <c r="P52" s="20">
        <v>1</v>
      </c>
      <c r="Q52" s="20">
        <v>1</v>
      </c>
      <c r="R52" s="20">
        <v>1</v>
      </c>
      <c r="S52" s="20">
        <v>1</v>
      </c>
      <c r="T52" s="20">
        <v>1</v>
      </c>
      <c r="U52" s="20">
        <v>1</v>
      </c>
      <c r="V52" s="20">
        <v>1</v>
      </c>
      <c r="W52" s="20">
        <v>1</v>
      </c>
      <c r="X52" s="20">
        <v>1</v>
      </c>
      <c r="Y52" s="20">
        <v>1</v>
      </c>
      <c r="Z52" s="20">
        <v>1</v>
      </c>
      <c r="AA52" s="20">
        <v>1</v>
      </c>
      <c r="AB52" s="20">
        <v>1</v>
      </c>
      <c r="AF52" s="59"/>
    </row>
    <row r="53" spans="11:32">
      <c r="L53" s="170">
        <v>3</v>
      </c>
      <c r="M53" s="113" t="str">
        <f t="shared" si="6"/>
        <v>User Proph 3</v>
      </c>
      <c r="N53" s="20">
        <v>1</v>
      </c>
      <c r="O53" s="20">
        <v>1</v>
      </c>
      <c r="P53" s="20">
        <v>1</v>
      </c>
      <c r="Q53" s="20">
        <v>1</v>
      </c>
      <c r="R53" s="20">
        <v>1</v>
      </c>
      <c r="S53" s="20">
        <v>1</v>
      </c>
      <c r="T53" s="20">
        <v>1</v>
      </c>
      <c r="U53" s="20">
        <v>1</v>
      </c>
      <c r="V53" s="20">
        <v>1</v>
      </c>
      <c r="W53" s="20">
        <v>1</v>
      </c>
      <c r="X53" s="20">
        <v>1</v>
      </c>
      <c r="Y53" s="20">
        <v>1</v>
      </c>
      <c r="Z53" s="20">
        <v>1</v>
      </c>
      <c r="AA53" s="20">
        <v>1</v>
      </c>
      <c r="AB53" s="20">
        <v>1</v>
      </c>
      <c r="AF53" s="59"/>
    </row>
    <row r="54" spans="11:32">
      <c r="L54" s="170">
        <v>4</v>
      </c>
      <c r="M54" s="113" t="str">
        <f t="shared" si="6"/>
        <v>User Proph 4</v>
      </c>
      <c r="N54" s="20">
        <v>1</v>
      </c>
      <c r="O54" s="20">
        <v>1</v>
      </c>
      <c r="P54" s="20">
        <v>1</v>
      </c>
      <c r="Q54" s="20">
        <v>1</v>
      </c>
      <c r="R54" s="20">
        <v>1</v>
      </c>
      <c r="S54" s="20">
        <v>1</v>
      </c>
      <c r="T54" s="20">
        <v>1</v>
      </c>
      <c r="U54" s="20">
        <v>1</v>
      </c>
      <c r="V54" s="20">
        <v>1</v>
      </c>
      <c r="W54" s="20">
        <v>1</v>
      </c>
      <c r="X54" s="20">
        <v>1</v>
      </c>
      <c r="Y54" s="20">
        <v>1</v>
      </c>
      <c r="Z54" s="20">
        <v>1</v>
      </c>
      <c r="AA54" s="20">
        <v>1</v>
      </c>
      <c r="AB54" s="20">
        <v>1</v>
      </c>
      <c r="AF54" s="59"/>
    </row>
    <row r="55" spans="11:32">
      <c r="L55" s="170">
        <v>5</v>
      </c>
      <c r="M55" s="113" t="str">
        <f t="shared" si="6"/>
        <v>User Proph 5</v>
      </c>
      <c r="N55" s="20">
        <v>1</v>
      </c>
      <c r="O55" s="20">
        <v>1</v>
      </c>
      <c r="P55" s="20">
        <v>1</v>
      </c>
      <c r="Q55" s="20">
        <v>1</v>
      </c>
      <c r="R55" s="20">
        <v>1</v>
      </c>
      <c r="S55" s="20">
        <v>1</v>
      </c>
      <c r="T55" s="20">
        <v>1</v>
      </c>
      <c r="U55" s="20">
        <v>1</v>
      </c>
      <c r="V55" s="20">
        <v>1</v>
      </c>
      <c r="W55" s="20">
        <v>1</v>
      </c>
      <c r="X55" s="20">
        <v>1</v>
      </c>
      <c r="Y55" s="20">
        <v>1</v>
      </c>
      <c r="Z55" s="20">
        <v>1</v>
      </c>
      <c r="AA55" s="20">
        <v>1</v>
      </c>
      <c r="AB55" s="20">
        <v>1</v>
      </c>
      <c r="AF55" s="59"/>
    </row>
    <row r="56" spans="11:32">
      <c r="L56" s="170">
        <v>6</v>
      </c>
      <c r="M56" s="113" t="str">
        <f t="shared" si="6"/>
        <v>User Proph 6</v>
      </c>
      <c r="N56" s="20">
        <v>1</v>
      </c>
      <c r="O56" s="20">
        <v>1</v>
      </c>
      <c r="P56" s="20">
        <v>1</v>
      </c>
      <c r="Q56" s="20">
        <v>1</v>
      </c>
      <c r="R56" s="20">
        <v>1</v>
      </c>
      <c r="S56" s="20">
        <v>1</v>
      </c>
      <c r="T56" s="20">
        <v>1</v>
      </c>
      <c r="U56" s="20">
        <v>1</v>
      </c>
      <c r="V56" s="20">
        <v>1</v>
      </c>
      <c r="W56" s="20">
        <v>1</v>
      </c>
      <c r="X56" s="20">
        <v>1</v>
      </c>
      <c r="Y56" s="20">
        <v>1</v>
      </c>
      <c r="Z56" s="20">
        <v>1</v>
      </c>
      <c r="AA56" s="20">
        <v>1</v>
      </c>
      <c r="AB56" s="20">
        <v>1</v>
      </c>
      <c r="AF56" s="59"/>
    </row>
    <row r="57" spans="11:32">
      <c r="L57" s="170">
        <v>7</v>
      </c>
      <c r="M57" s="113" t="str">
        <f t="shared" si="6"/>
        <v>User Proph 7</v>
      </c>
      <c r="N57" s="20">
        <v>1</v>
      </c>
      <c r="O57" s="20">
        <v>1</v>
      </c>
      <c r="P57" s="20">
        <v>1</v>
      </c>
      <c r="Q57" s="20">
        <v>1</v>
      </c>
      <c r="R57" s="20">
        <v>1</v>
      </c>
      <c r="S57" s="20">
        <v>1</v>
      </c>
      <c r="T57" s="20">
        <v>1</v>
      </c>
      <c r="U57" s="20">
        <v>1</v>
      </c>
      <c r="V57" s="20">
        <v>1</v>
      </c>
      <c r="W57" s="20">
        <v>1</v>
      </c>
      <c r="X57" s="20">
        <v>1</v>
      </c>
      <c r="Y57" s="20">
        <v>1</v>
      </c>
      <c r="Z57" s="20">
        <v>1</v>
      </c>
      <c r="AA57" s="20">
        <v>1</v>
      </c>
      <c r="AB57" s="20">
        <v>1</v>
      </c>
      <c r="AF57" s="59"/>
    </row>
    <row r="58" spans="11:32">
      <c r="L58" s="170">
        <v>8</v>
      </c>
      <c r="M58" s="113" t="str">
        <f t="shared" si="6"/>
        <v>User Proph 8</v>
      </c>
      <c r="N58" s="20">
        <v>1</v>
      </c>
      <c r="O58" s="20">
        <v>1</v>
      </c>
      <c r="P58" s="20">
        <v>1</v>
      </c>
      <c r="Q58" s="20">
        <v>1</v>
      </c>
      <c r="R58" s="20">
        <v>1</v>
      </c>
      <c r="S58" s="20">
        <v>1</v>
      </c>
      <c r="T58" s="20">
        <v>1</v>
      </c>
      <c r="U58" s="20">
        <v>1</v>
      </c>
      <c r="V58" s="20">
        <v>1</v>
      </c>
      <c r="W58" s="20">
        <v>1</v>
      </c>
      <c r="X58" s="20">
        <v>1</v>
      </c>
      <c r="Y58" s="20">
        <v>1</v>
      </c>
      <c r="Z58" s="20">
        <v>1</v>
      </c>
      <c r="AA58" s="20">
        <v>1</v>
      </c>
      <c r="AB58" s="20">
        <v>1</v>
      </c>
      <c r="AF58" s="59"/>
    </row>
    <row r="59" spans="11:32">
      <c r="L59" s="170">
        <v>9</v>
      </c>
      <c r="M59" s="113" t="str">
        <f t="shared" si="6"/>
        <v>User Proph 9</v>
      </c>
      <c r="N59" s="20">
        <v>1</v>
      </c>
      <c r="O59" s="20">
        <v>1</v>
      </c>
      <c r="P59" s="20">
        <v>1</v>
      </c>
      <c r="Q59" s="20">
        <v>1</v>
      </c>
      <c r="R59" s="20">
        <v>1</v>
      </c>
      <c r="S59" s="20">
        <v>1</v>
      </c>
      <c r="T59" s="20">
        <v>1</v>
      </c>
      <c r="U59" s="20">
        <v>1</v>
      </c>
      <c r="V59" s="20">
        <v>1</v>
      </c>
      <c r="W59" s="20">
        <v>1</v>
      </c>
      <c r="X59" s="20">
        <v>1</v>
      </c>
      <c r="Y59" s="20">
        <v>1</v>
      </c>
      <c r="Z59" s="20">
        <v>1</v>
      </c>
      <c r="AA59" s="20">
        <v>1</v>
      </c>
      <c r="AB59" s="20">
        <v>1</v>
      </c>
      <c r="AF59" s="59"/>
    </row>
    <row r="60" spans="11:32">
      <c r="L60" s="170">
        <v>10</v>
      </c>
      <c r="M60" s="113" t="str">
        <f t="shared" si="6"/>
        <v>User Proph 10</v>
      </c>
      <c r="N60" s="20">
        <v>1</v>
      </c>
      <c r="O60" s="20">
        <v>1</v>
      </c>
      <c r="P60" s="20">
        <v>1</v>
      </c>
      <c r="Q60" s="20">
        <v>1</v>
      </c>
      <c r="R60" s="20">
        <v>1</v>
      </c>
      <c r="S60" s="20">
        <v>1</v>
      </c>
      <c r="T60" s="20">
        <v>1</v>
      </c>
      <c r="U60" s="20">
        <v>1</v>
      </c>
      <c r="V60" s="20">
        <v>1</v>
      </c>
      <c r="W60" s="20">
        <v>1</v>
      </c>
      <c r="X60" s="20">
        <v>1</v>
      </c>
      <c r="Y60" s="20">
        <v>1</v>
      </c>
      <c r="Z60" s="20">
        <v>1</v>
      </c>
      <c r="AA60" s="20">
        <v>1</v>
      </c>
      <c r="AB60" s="20">
        <v>1</v>
      </c>
      <c r="AC60" s="18"/>
      <c r="AD60" s="175"/>
      <c r="AE60" s="18"/>
      <c r="AF60" s="18"/>
    </row>
    <row r="61" spans="11:32">
      <c r="AC61" s="18"/>
      <c r="AD61" s="175"/>
      <c r="AE61" s="18"/>
      <c r="AF61" s="18"/>
    </row>
    <row r="62" spans="11:32">
      <c r="AB62" s="143"/>
      <c r="AC62" s="143"/>
      <c r="AD62" s="176"/>
      <c r="AE62" s="143"/>
      <c r="AF62" s="143"/>
    </row>
    <row r="63" spans="11:32">
      <c r="K63" s="38" t="s">
        <v>318</v>
      </c>
      <c r="M63" s="18"/>
      <c r="N63" s="18"/>
      <c r="O63" s="18"/>
      <c r="P63" s="18"/>
      <c r="Q63" s="18"/>
      <c r="R63" s="18"/>
      <c r="AB63" s="18"/>
      <c r="AC63" s="18"/>
      <c r="AD63" s="176"/>
      <c r="AE63" s="143"/>
    </row>
    <row r="64" spans="11:32">
      <c r="L64" s="18"/>
      <c r="M64" s="18"/>
      <c r="O64" s="114"/>
      <c r="P64" s="114"/>
      <c r="Q64" s="114"/>
      <c r="R64" s="114"/>
      <c r="S64" s="18"/>
      <c r="AB64" s="51"/>
      <c r="AC64" s="51"/>
      <c r="AD64" s="176"/>
      <c r="AE64" s="143"/>
    </row>
    <row r="65" spans="11:31">
      <c r="K65" s="114" t="s">
        <v>13</v>
      </c>
      <c r="L65" s="51" t="s">
        <v>25</v>
      </c>
      <c r="M65" s="115" t="s">
        <v>26</v>
      </c>
      <c r="N65" s="18" t="str">
        <f>Simulation!$B$12</f>
        <v>LungCancer</v>
      </c>
      <c r="O65" s="18" t="str">
        <f>Simulation!$B$13</f>
        <v>COPD</v>
      </c>
      <c r="P65" s="18" t="str">
        <f>Simulation!$B$14</f>
        <v>MI</v>
      </c>
      <c r="Q65" s="18" t="str">
        <f>Simulation!$B$15</f>
        <v>Stroke</v>
      </c>
      <c r="R65" s="18" t="str">
        <f>Simulation!$B$16</f>
        <v>OthEvent</v>
      </c>
      <c r="S65" s="18"/>
      <c r="AB65" s="59"/>
      <c r="AC65" s="59"/>
      <c r="AD65" s="176"/>
      <c r="AE65" s="143"/>
    </row>
    <row r="66" spans="11:31">
      <c r="L66" s="170">
        <v>1</v>
      </c>
      <c r="M66" s="113" t="str">
        <f t="shared" ref="M66:M75" si="7">M51</f>
        <v>User Proph 1</v>
      </c>
      <c r="N66" s="20">
        <v>1</v>
      </c>
      <c r="O66" s="20">
        <v>1</v>
      </c>
      <c r="P66" s="20">
        <v>1</v>
      </c>
      <c r="Q66" s="20">
        <v>1</v>
      </c>
      <c r="R66" s="20">
        <v>1</v>
      </c>
      <c r="S66" s="18"/>
      <c r="AB66" s="59"/>
      <c r="AC66" s="59"/>
      <c r="AD66" s="176"/>
      <c r="AE66" s="143"/>
    </row>
    <row r="67" spans="11:31">
      <c r="L67" s="170">
        <v>2</v>
      </c>
      <c r="M67" s="113" t="str">
        <f t="shared" si="7"/>
        <v>User Proph 2</v>
      </c>
      <c r="N67" s="20">
        <v>1</v>
      </c>
      <c r="O67" s="20">
        <v>1</v>
      </c>
      <c r="P67" s="20">
        <v>1</v>
      </c>
      <c r="Q67" s="20">
        <v>1</v>
      </c>
      <c r="R67" s="20">
        <v>1</v>
      </c>
      <c r="S67" s="18"/>
      <c r="AB67" s="59"/>
      <c r="AC67" s="59"/>
      <c r="AD67" s="176"/>
      <c r="AE67" s="143"/>
    </row>
    <row r="68" spans="11:31">
      <c r="L68" s="170">
        <v>3</v>
      </c>
      <c r="M68" s="113" t="str">
        <f t="shared" si="7"/>
        <v>User Proph 3</v>
      </c>
      <c r="N68" s="20">
        <v>1</v>
      </c>
      <c r="O68" s="20">
        <v>1</v>
      </c>
      <c r="P68" s="20">
        <v>1</v>
      </c>
      <c r="Q68" s="20">
        <v>1</v>
      </c>
      <c r="R68" s="20">
        <v>1</v>
      </c>
      <c r="S68" s="18"/>
      <c r="AB68" s="59"/>
      <c r="AC68" s="59"/>
      <c r="AD68" s="176"/>
      <c r="AE68" s="143"/>
    </row>
    <row r="69" spans="11:31">
      <c r="L69" s="170">
        <v>4</v>
      </c>
      <c r="M69" s="113" t="str">
        <f t="shared" si="7"/>
        <v>User Proph 4</v>
      </c>
      <c r="N69" s="20">
        <v>1</v>
      </c>
      <c r="O69" s="20">
        <v>1</v>
      </c>
      <c r="P69" s="20">
        <v>1</v>
      </c>
      <c r="Q69" s="20">
        <v>1</v>
      </c>
      <c r="R69" s="20">
        <v>1</v>
      </c>
      <c r="S69" s="18"/>
      <c r="AB69" s="59"/>
      <c r="AC69" s="59"/>
      <c r="AD69" s="176"/>
      <c r="AE69" s="143"/>
    </row>
    <row r="70" spans="11:31">
      <c r="L70" s="170">
        <v>5</v>
      </c>
      <c r="M70" s="113" t="str">
        <f t="shared" si="7"/>
        <v>User Proph 5</v>
      </c>
      <c r="N70" s="20">
        <v>1</v>
      </c>
      <c r="O70" s="20">
        <v>1</v>
      </c>
      <c r="P70" s="20">
        <v>1</v>
      </c>
      <c r="Q70" s="20">
        <v>1</v>
      </c>
      <c r="R70" s="20">
        <v>1</v>
      </c>
      <c r="S70" s="18"/>
      <c r="AB70" s="59"/>
      <c r="AC70" s="59"/>
      <c r="AD70" s="176"/>
      <c r="AE70" s="143"/>
    </row>
    <row r="71" spans="11:31">
      <c r="L71" s="170">
        <v>6</v>
      </c>
      <c r="M71" s="113" t="str">
        <f t="shared" si="7"/>
        <v>User Proph 6</v>
      </c>
      <c r="N71" s="20">
        <v>1</v>
      </c>
      <c r="O71" s="20">
        <v>1</v>
      </c>
      <c r="P71" s="20">
        <v>1</v>
      </c>
      <c r="Q71" s="20">
        <v>1</v>
      </c>
      <c r="R71" s="20">
        <v>1</v>
      </c>
      <c r="S71" s="18"/>
      <c r="AB71" s="59"/>
      <c r="AC71" s="59"/>
      <c r="AD71" s="176"/>
      <c r="AE71" s="143"/>
    </row>
    <row r="72" spans="11:31">
      <c r="L72" s="170">
        <v>7</v>
      </c>
      <c r="M72" s="113" t="str">
        <f t="shared" si="7"/>
        <v>User Proph 7</v>
      </c>
      <c r="N72" s="20">
        <v>1</v>
      </c>
      <c r="O72" s="20">
        <v>1</v>
      </c>
      <c r="P72" s="20">
        <v>1</v>
      </c>
      <c r="Q72" s="20">
        <v>1</v>
      </c>
      <c r="R72" s="20">
        <v>1</v>
      </c>
      <c r="S72" s="18"/>
      <c r="AB72" s="59"/>
      <c r="AC72" s="59"/>
      <c r="AD72" s="176"/>
      <c r="AE72" s="143"/>
    </row>
    <row r="73" spans="11:31">
      <c r="L73" s="170">
        <v>8</v>
      </c>
      <c r="M73" s="113" t="str">
        <f t="shared" si="7"/>
        <v>User Proph 8</v>
      </c>
      <c r="N73" s="20">
        <v>1</v>
      </c>
      <c r="O73" s="20">
        <v>1</v>
      </c>
      <c r="P73" s="20">
        <v>1</v>
      </c>
      <c r="Q73" s="20">
        <v>1</v>
      </c>
      <c r="R73" s="20">
        <v>1</v>
      </c>
      <c r="S73" s="18"/>
      <c r="AB73" s="59"/>
      <c r="AC73" s="59"/>
      <c r="AD73" s="176"/>
      <c r="AE73" s="143"/>
    </row>
    <row r="74" spans="11:31">
      <c r="L74" s="170">
        <v>9</v>
      </c>
      <c r="M74" s="113" t="str">
        <f t="shared" si="7"/>
        <v>User Proph 9</v>
      </c>
      <c r="N74" s="20">
        <v>1</v>
      </c>
      <c r="O74" s="20">
        <v>1</v>
      </c>
      <c r="P74" s="20">
        <v>1</v>
      </c>
      <c r="Q74" s="20">
        <v>1</v>
      </c>
      <c r="R74" s="20">
        <v>1</v>
      </c>
      <c r="S74" s="18"/>
      <c r="AB74" s="59"/>
      <c r="AC74" s="59"/>
      <c r="AD74" s="176"/>
      <c r="AE74" s="143"/>
    </row>
    <row r="75" spans="11:31">
      <c r="L75" s="170">
        <v>10</v>
      </c>
      <c r="M75" s="113" t="str">
        <f t="shared" si="7"/>
        <v>User Proph 10</v>
      </c>
      <c r="N75" s="20">
        <v>1</v>
      </c>
      <c r="O75" s="20">
        <v>1</v>
      </c>
      <c r="P75" s="20">
        <v>1</v>
      </c>
      <c r="Q75" s="20">
        <v>1</v>
      </c>
      <c r="R75" s="20">
        <v>1</v>
      </c>
      <c r="S75" s="18"/>
      <c r="AB75" s="18"/>
      <c r="AC75" s="18"/>
      <c r="AD75" s="175"/>
      <c r="AE75" s="18"/>
    </row>
    <row r="76" spans="11:31">
      <c r="L76" s="18"/>
      <c r="M76" s="18"/>
      <c r="N76" s="18"/>
      <c r="O76" s="18"/>
      <c r="P76" s="18"/>
      <c r="Q76" s="18"/>
      <c r="R76" s="18"/>
      <c r="S76" s="18"/>
      <c r="AB76" s="18"/>
      <c r="AC76" s="18"/>
      <c r="AD76" s="175"/>
      <c r="AE76" s="18"/>
    </row>
    <row r="77" spans="11:31">
      <c r="L77" s="18"/>
      <c r="M77" s="18"/>
      <c r="O77" s="114"/>
      <c r="P77" s="114"/>
      <c r="Q77" s="114"/>
      <c r="R77" s="114"/>
      <c r="S77" s="18"/>
      <c r="AB77" s="51"/>
      <c r="AC77" s="51"/>
      <c r="AD77" s="175"/>
      <c r="AE77" s="18"/>
    </row>
    <row r="78" spans="11:31">
      <c r="K78" s="114" t="s">
        <v>12</v>
      </c>
      <c r="L78" s="51" t="s">
        <v>25</v>
      </c>
      <c r="M78" s="115" t="s">
        <v>26</v>
      </c>
      <c r="N78" s="18" t="str">
        <f>Simulation!$B$12</f>
        <v>LungCancer</v>
      </c>
      <c r="O78" s="18" t="str">
        <f>Simulation!$B$13</f>
        <v>COPD</v>
      </c>
      <c r="P78" s="18" t="str">
        <f>Simulation!$B$14</f>
        <v>MI</v>
      </c>
      <c r="Q78" s="18" t="str">
        <f>Simulation!$B$15</f>
        <v>Stroke</v>
      </c>
      <c r="R78" s="18" t="str">
        <f>Simulation!$B$16</f>
        <v>OthEvent</v>
      </c>
      <c r="S78" s="18"/>
      <c r="AB78" s="59"/>
      <c r="AC78" s="59"/>
      <c r="AD78" s="175"/>
      <c r="AE78" s="18"/>
    </row>
    <row r="79" spans="11:31">
      <c r="L79" s="170">
        <v>1</v>
      </c>
      <c r="M79" s="113" t="str">
        <f>M66</f>
        <v>User Proph 1</v>
      </c>
      <c r="N79" s="20">
        <v>1</v>
      </c>
      <c r="O79" s="20">
        <v>1</v>
      </c>
      <c r="P79" s="20">
        <v>1</v>
      </c>
      <c r="Q79" s="20">
        <v>1</v>
      </c>
      <c r="R79" s="20">
        <v>1</v>
      </c>
      <c r="S79" s="18"/>
      <c r="AB79" s="59"/>
      <c r="AC79" s="59"/>
      <c r="AD79" s="175"/>
      <c r="AE79" s="18"/>
    </row>
    <row r="80" spans="11:31">
      <c r="L80" s="170">
        <v>2</v>
      </c>
      <c r="M80" s="113" t="str">
        <f t="shared" ref="M80:M88" si="8">M67</f>
        <v>User Proph 2</v>
      </c>
      <c r="N80" s="20">
        <v>1</v>
      </c>
      <c r="O80" s="20">
        <v>1</v>
      </c>
      <c r="P80" s="20">
        <v>1</v>
      </c>
      <c r="Q80" s="20">
        <v>1</v>
      </c>
      <c r="R80" s="20">
        <v>1</v>
      </c>
      <c r="S80" s="18"/>
      <c r="AB80" s="59"/>
      <c r="AC80" s="59"/>
      <c r="AD80" s="175"/>
      <c r="AE80" s="18"/>
    </row>
    <row r="81" spans="11:32">
      <c r="L81" s="170">
        <v>3</v>
      </c>
      <c r="M81" s="113" t="str">
        <f t="shared" si="8"/>
        <v>User Proph 3</v>
      </c>
      <c r="N81" s="20">
        <v>1</v>
      </c>
      <c r="O81" s="20">
        <v>1</v>
      </c>
      <c r="P81" s="20">
        <v>1</v>
      </c>
      <c r="Q81" s="20">
        <v>1</v>
      </c>
      <c r="R81" s="20">
        <v>1</v>
      </c>
      <c r="S81" s="18"/>
      <c r="AB81" s="59"/>
      <c r="AC81" s="59"/>
      <c r="AD81" s="175"/>
      <c r="AE81" s="18"/>
    </row>
    <row r="82" spans="11:32">
      <c r="L82" s="170">
        <v>4</v>
      </c>
      <c r="M82" s="113" t="str">
        <f t="shared" si="8"/>
        <v>User Proph 4</v>
      </c>
      <c r="N82" s="20">
        <v>1</v>
      </c>
      <c r="O82" s="20">
        <v>1</v>
      </c>
      <c r="P82" s="20">
        <v>1</v>
      </c>
      <c r="Q82" s="20">
        <v>1</v>
      </c>
      <c r="R82" s="20">
        <v>1</v>
      </c>
      <c r="S82" s="18"/>
      <c r="AB82" s="59"/>
      <c r="AC82" s="59"/>
      <c r="AD82" s="175"/>
      <c r="AE82" s="18"/>
    </row>
    <row r="83" spans="11:32">
      <c r="L83" s="170">
        <v>5</v>
      </c>
      <c r="M83" s="113" t="str">
        <f t="shared" si="8"/>
        <v>User Proph 5</v>
      </c>
      <c r="N83" s="20">
        <v>1</v>
      </c>
      <c r="O83" s="20">
        <v>1</v>
      </c>
      <c r="P83" s="20">
        <v>1</v>
      </c>
      <c r="Q83" s="20">
        <v>1</v>
      </c>
      <c r="R83" s="20">
        <v>1</v>
      </c>
      <c r="S83" s="18"/>
      <c r="AB83" s="59"/>
      <c r="AC83" s="59"/>
      <c r="AD83" s="175"/>
      <c r="AE83" s="18"/>
    </row>
    <row r="84" spans="11:32">
      <c r="L84" s="170">
        <v>6</v>
      </c>
      <c r="M84" s="113" t="str">
        <f t="shared" si="8"/>
        <v>User Proph 6</v>
      </c>
      <c r="N84" s="20">
        <v>1</v>
      </c>
      <c r="O84" s="20">
        <v>1</v>
      </c>
      <c r="P84" s="20">
        <v>1</v>
      </c>
      <c r="Q84" s="20">
        <v>1</v>
      </c>
      <c r="R84" s="20">
        <v>1</v>
      </c>
      <c r="S84" s="18"/>
      <c r="AB84" s="59"/>
      <c r="AC84" s="59"/>
      <c r="AD84" s="175"/>
      <c r="AE84" s="18"/>
    </row>
    <row r="85" spans="11:32">
      <c r="L85" s="170">
        <v>7</v>
      </c>
      <c r="M85" s="113" t="str">
        <f t="shared" si="8"/>
        <v>User Proph 7</v>
      </c>
      <c r="N85" s="20">
        <v>1</v>
      </c>
      <c r="O85" s="20">
        <v>1</v>
      </c>
      <c r="P85" s="20">
        <v>1</v>
      </c>
      <c r="Q85" s="20">
        <v>1</v>
      </c>
      <c r="R85" s="20">
        <v>1</v>
      </c>
      <c r="S85" s="18"/>
      <c r="AB85" s="59"/>
      <c r="AC85" s="59"/>
      <c r="AD85" s="175"/>
      <c r="AE85" s="18"/>
    </row>
    <row r="86" spans="11:32">
      <c r="L86" s="170">
        <v>8</v>
      </c>
      <c r="M86" s="113" t="str">
        <f t="shared" si="8"/>
        <v>User Proph 8</v>
      </c>
      <c r="N86" s="20">
        <v>1</v>
      </c>
      <c r="O86" s="20">
        <v>1</v>
      </c>
      <c r="P86" s="20">
        <v>1</v>
      </c>
      <c r="Q86" s="20">
        <v>1</v>
      </c>
      <c r="R86" s="20">
        <v>1</v>
      </c>
      <c r="S86" s="18"/>
      <c r="AB86" s="59"/>
      <c r="AC86" s="59"/>
      <c r="AD86" s="175"/>
      <c r="AE86" s="18"/>
    </row>
    <row r="87" spans="11:32">
      <c r="L87" s="170">
        <v>9</v>
      </c>
      <c r="M87" s="113" t="str">
        <f t="shared" si="8"/>
        <v>User Proph 9</v>
      </c>
      <c r="N87" s="20">
        <v>1</v>
      </c>
      <c r="O87" s="20">
        <v>1</v>
      </c>
      <c r="P87" s="20">
        <v>1</v>
      </c>
      <c r="Q87" s="20">
        <v>1</v>
      </c>
      <c r="R87" s="20">
        <v>1</v>
      </c>
      <c r="S87" s="18"/>
      <c r="AB87" s="59"/>
      <c r="AC87" s="59"/>
      <c r="AD87" s="175"/>
      <c r="AE87" s="18"/>
    </row>
    <row r="88" spans="11:32">
      <c r="L88" s="170">
        <v>10</v>
      </c>
      <c r="M88" s="113" t="str">
        <f t="shared" si="8"/>
        <v>User Proph 10</v>
      </c>
      <c r="N88" s="20">
        <v>1</v>
      </c>
      <c r="O88" s="20">
        <v>1</v>
      </c>
      <c r="P88" s="20">
        <v>1</v>
      </c>
      <c r="Q88" s="20">
        <v>1</v>
      </c>
      <c r="R88" s="20">
        <v>1</v>
      </c>
      <c r="S88" s="18"/>
      <c r="Y88" s="18"/>
      <c r="Z88" s="18"/>
      <c r="AA88" s="18"/>
      <c r="AB88" s="18"/>
      <c r="AC88" s="18"/>
      <c r="AD88" s="175"/>
      <c r="AE88" s="18"/>
      <c r="AF88" s="18"/>
    </row>
    <row r="89" spans="11:32">
      <c r="S89" s="18"/>
    </row>
    <row r="90" spans="11:32">
      <c r="AF90" s="114"/>
    </row>
    <row r="91" spans="11:32">
      <c r="K91" s="171" t="s">
        <v>321</v>
      </c>
    </row>
    <row r="92" spans="11:32">
      <c r="AF92" s="19"/>
    </row>
    <row r="93" spans="11:32">
      <c r="K93" s="116" t="s">
        <v>13</v>
      </c>
      <c r="L93" s="51" t="s">
        <v>25</v>
      </c>
      <c r="M93" s="115" t="s">
        <v>26</v>
      </c>
      <c r="N93" s="18" t="s">
        <v>65</v>
      </c>
      <c r="O93" s="18" t="s">
        <v>20</v>
      </c>
      <c r="P93" s="18" t="s">
        <v>19</v>
      </c>
      <c r="AF93" s="19"/>
    </row>
    <row r="94" spans="11:32">
      <c r="L94" s="170">
        <v>1</v>
      </c>
      <c r="M94" s="113" t="str">
        <f t="shared" ref="M94:M103" si="9">M66</f>
        <v>User Proph 1</v>
      </c>
      <c r="N94" s="20">
        <v>1</v>
      </c>
      <c r="O94" s="20">
        <v>1</v>
      </c>
      <c r="P94" s="20">
        <v>1</v>
      </c>
      <c r="AF94" s="19"/>
    </row>
    <row r="95" spans="11:32">
      <c r="L95" s="170">
        <v>2</v>
      </c>
      <c r="M95" s="113" t="str">
        <f t="shared" si="9"/>
        <v>User Proph 2</v>
      </c>
      <c r="N95" s="20">
        <v>1</v>
      </c>
      <c r="O95" s="20">
        <v>1</v>
      </c>
      <c r="P95" s="20">
        <v>1</v>
      </c>
      <c r="AF95" s="19"/>
    </row>
    <row r="96" spans="11:32">
      <c r="L96" s="170">
        <v>3</v>
      </c>
      <c r="M96" s="113" t="str">
        <f t="shared" si="9"/>
        <v>User Proph 3</v>
      </c>
      <c r="N96" s="20">
        <v>1</v>
      </c>
      <c r="O96" s="20">
        <v>1</v>
      </c>
      <c r="P96" s="20">
        <v>1</v>
      </c>
      <c r="AF96" s="19"/>
    </row>
    <row r="97" spans="11:32">
      <c r="L97" s="170">
        <v>4</v>
      </c>
      <c r="M97" s="113" t="str">
        <f t="shared" si="9"/>
        <v>User Proph 4</v>
      </c>
      <c r="N97" s="20">
        <v>1</v>
      </c>
      <c r="O97" s="20">
        <v>1</v>
      </c>
      <c r="P97" s="20">
        <v>1</v>
      </c>
      <c r="AF97" s="19"/>
    </row>
    <row r="98" spans="11:32">
      <c r="L98" s="170">
        <v>5</v>
      </c>
      <c r="M98" s="113" t="str">
        <f t="shared" si="9"/>
        <v>User Proph 5</v>
      </c>
      <c r="N98" s="20">
        <v>1</v>
      </c>
      <c r="O98" s="20">
        <v>1</v>
      </c>
      <c r="P98" s="20">
        <v>1</v>
      </c>
      <c r="AF98" s="19"/>
    </row>
    <row r="99" spans="11:32">
      <c r="L99" s="170">
        <v>6</v>
      </c>
      <c r="M99" s="113" t="str">
        <f t="shared" si="9"/>
        <v>User Proph 6</v>
      </c>
      <c r="N99" s="20">
        <v>1</v>
      </c>
      <c r="O99" s="20">
        <v>1</v>
      </c>
      <c r="P99" s="20">
        <v>1</v>
      </c>
      <c r="AF99" s="19"/>
    </row>
    <row r="100" spans="11:32">
      <c r="L100" s="170">
        <v>7</v>
      </c>
      <c r="M100" s="113" t="str">
        <f t="shared" si="9"/>
        <v>User Proph 7</v>
      </c>
      <c r="N100" s="20">
        <v>1</v>
      </c>
      <c r="O100" s="20">
        <v>1</v>
      </c>
      <c r="P100" s="20">
        <v>1</v>
      </c>
      <c r="AF100" s="19"/>
    </row>
    <row r="101" spans="11:32">
      <c r="L101" s="170">
        <v>8</v>
      </c>
      <c r="M101" s="113" t="str">
        <f t="shared" si="9"/>
        <v>User Proph 8</v>
      </c>
      <c r="N101" s="20">
        <v>1</v>
      </c>
      <c r="O101" s="20">
        <v>1</v>
      </c>
      <c r="P101" s="20">
        <v>1</v>
      </c>
      <c r="AF101" s="19"/>
    </row>
    <row r="102" spans="11:32">
      <c r="L102" s="170">
        <v>9</v>
      </c>
      <c r="M102" s="113" t="str">
        <f t="shared" si="9"/>
        <v>User Proph 9</v>
      </c>
      <c r="N102" s="20">
        <v>1</v>
      </c>
      <c r="O102" s="20">
        <v>1</v>
      </c>
      <c r="P102" s="20">
        <v>1</v>
      </c>
    </row>
    <row r="103" spans="11:32">
      <c r="L103" s="170">
        <v>10</v>
      </c>
      <c r="M103" s="113" t="str">
        <f t="shared" si="9"/>
        <v>User Proph 10</v>
      </c>
      <c r="N103" s="20">
        <v>1</v>
      </c>
      <c r="O103" s="20">
        <v>1</v>
      </c>
      <c r="P103" s="20">
        <v>1</v>
      </c>
      <c r="AF103" s="114"/>
    </row>
    <row r="104" spans="11:32">
      <c r="L104" s="18"/>
      <c r="M104" s="18"/>
      <c r="N104" s="18"/>
      <c r="O104" s="18"/>
      <c r="P104" s="18"/>
    </row>
    <row r="105" spans="11:32">
      <c r="L105" s="18"/>
      <c r="M105" s="18"/>
      <c r="O105" s="116"/>
      <c r="P105" s="116"/>
      <c r="AF105" s="19"/>
    </row>
    <row r="106" spans="11:32">
      <c r="K106" s="116" t="s">
        <v>12</v>
      </c>
      <c r="L106" s="51" t="s">
        <v>25</v>
      </c>
      <c r="M106" s="115" t="s">
        <v>26</v>
      </c>
      <c r="N106" s="18" t="s">
        <v>65</v>
      </c>
      <c r="O106" s="18" t="s">
        <v>20</v>
      </c>
      <c r="P106" s="18" t="s">
        <v>19</v>
      </c>
      <c r="AF106" s="19"/>
    </row>
    <row r="107" spans="11:32">
      <c r="L107" s="170">
        <v>1</v>
      </c>
      <c r="M107" s="113" t="str">
        <f t="shared" ref="M107:M116" si="10">M94</f>
        <v>User Proph 1</v>
      </c>
      <c r="N107" s="20">
        <v>1</v>
      </c>
      <c r="O107" s="20">
        <v>1</v>
      </c>
      <c r="P107" s="20">
        <v>1</v>
      </c>
      <c r="AF107" s="19"/>
    </row>
    <row r="108" spans="11:32">
      <c r="L108" s="170">
        <v>2</v>
      </c>
      <c r="M108" s="113" t="str">
        <f t="shared" si="10"/>
        <v>User Proph 2</v>
      </c>
      <c r="N108" s="20">
        <v>1</v>
      </c>
      <c r="O108" s="20">
        <v>1</v>
      </c>
      <c r="P108" s="20">
        <v>1</v>
      </c>
      <c r="AF108" s="19"/>
    </row>
    <row r="109" spans="11:32">
      <c r="L109" s="170">
        <v>3</v>
      </c>
      <c r="M109" s="113" t="str">
        <f t="shared" si="10"/>
        <v>User Proph 3</v>
      </c>
      <c r="N109" s="20">
        <v>1</v>
      </c>
      <c r="O109" s="20">
        <v>1</v>
      </c>
      <c r="P109" s="20">
        <v>1</v>
      </c>
      <c r="AF109" s="19"/>
    </row>
    <row r="110" spans="11:32">
      <c r="L110" s="170">
        <v>4</v>
      </c>
      <c r="M110" s="113" t="str">
        <f t="shared" si="10"/>
        <v>User Proph 4</v>
      </c>
      <c r="N110" s="20">
        <v>1</v>
      </c>
      <c r="O110" s="20">
        <v>1</v>
      </c>
      <c r="P110" s="20">
        <v>1</v>
      </c>
      <c r="AF110" s="19"/>
    </row>
    <row r="111" spans="11:32">
      <c r="L111" s="170">
        <v>5</v>
      </c>
      <c r="M111" s="113" t="str">
        <f t="shared" si="10"/>
        <v>User Proph 5</v>
      </c>
      <c r="N111" s="20">
        <v>1</v>
      </c>
      <c r="O111" s="20">
        <v>1</v>
      </c>
      <c r="P111" s="20">
        <v>1</v>
      </c>
      <c r="AF111" s="19"/>
    </row>
    <row r="112" spans="11:32">
      <c r="L112" s="170">
        <v>6</v>
      </c>
      <c r="M112" s="113" t="str">
        <f t="shared" si="10"/>
        <v>User Proph 6</v>
      </c>
      <c r="N112" s="20">
        <v>1</v>
      </c>
      <c r="O112" s="20">
        <v>1</v>
      </c>
      <c r="P112" s="20">
        <v>1</v>
      </c>
      <c r="AF112" s="19"/>
    </row>
    <row r="113" spans="12:32">
      <c r="L113" s="170">
        <v>7</v>
      </c>
      <c r="M113" s="113" t="str">
        <f t="shared" si="10"/>
        <v>User Proph 7</v>
      </c>
      <c r="N113" s="20">
        <v>1</v>
      </c>
      <c r="O113" s="20">
        <v>1</v>
      </c>
      <c r="P113" s="20">
        <v>1</v>
      </c>
      <c r="AF113" s="19"/>
    </row>
    <row r="114" spans="12:32">
      <c r="L114" s="170">
        <v>8</v>
      </c>
      <c r="M114" s="113" t="str">
        <f t="shared" si="10"/>
        <v>User Proph 8</v>
      </c>
      <c r="N114" s="20">
        <v>1</v>
      </c>
      <c r="O114" s="20">
        <v>1</v>
      </c>
      <c r="P114" s="20">
        <v>1</v>
      </c>
      <c r="AF114" s="19"/>
    </row>
    <row r="115" spans="12:32">
      <c r="L115" s="170">
        <v>9</v>
      </c>
      <c r="M115" s="113" t="str">
        <f t="shared" si="10"/>
        <v>User Proph 9</v>
      </c>
      <c r="N115" s="20">
        <v>1</v>
      </c>
      <c r="O115" s="20">
        <v>1</v>
      </c>
      <c r="P115" s="20">
        <v>1</v>
      </c>
    </row>
    <row r="116" spans="12:32">
      <c r="L116" s="170">
        <v>10</v>
      </c>
      <c r="M116" s="113" t="str">
        <f t="shared" si="10"/>
        <v>User Proph 10</v>
      </c>
      <c r="N116" s="20">
        <v>1</v>
      </c>
      <c r="O116" s="20">
        <v>1</v>
      </c>
      <c r="P116" s="20">
        <v>1</v>
      </c>
    </row>
  </sheetData>
  <dataValidations count="1">
    <dataValidation type="list" allowBlank="1" showInputMessage="1" showErrorMessage="1" sqref="F36:G45">
      <formula1>"0,1"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 enableFormatConditionsCalculation="0"/>
  <dimension ref="A1:AM88"/>
  <sheetViews>
    <sheetView workbookViewId="0">
      <selection activeCell="U80" sqref="U80"/>
    </sheetView>
  </sheetViews>
  <sheetFormatPr defaultColWidth="9.140625" defaultRowHeight="12.75"/>
  <cols>
    <col min="1" max="1" width="2.85546875" style="2" customWidth="1"/>
    <col min="2" max="2" width="9.140625" style="2"/>
    <col min="3" max="3" width="15.85546875" style="2" bestFit="1" customWidth="1"/>
    <col min="4" max="4" width="8.42578125" style="2" customWidth="1"/>
    <col min="5" max="5" width="13.85546875" style="2" customWidth="1"/>
    <col min="6" max="6" width="11.140625" style="2" customWidth="1"/>
    <col min="7" max="7" width="16" style="2" customWidth="1"/>
    <col min="8" max="8" width="12" style="2" customWidth="1"/>
    <col min="9" max="9" width="3.7109375" style="2" customWidth="1"/>
    <col min="10" max="10" width="3" style="183" customWidth="1"/>
    <col min="11" max="11" width="9.140625" style="2"/>
    <col min="12" max="12" width="9.140625" style="18"/>
    <col min="13" max="13" width="17" style="122" customWidth="1"/>
    <col min="14" max="14" width="11.28515625" style="18" customWidth="1"/>
    <col min="15" max="29" width="9.140625" style="18"/>
    <col min="30" max="30" width="3" style="183" customWidth="1"/>
    <col min="31" max="32" width="9.140625" style="2"/>
    <col min="33" max="33" width="16.42578125" style="122" customWidth="1"/>
    <col min="34" max="34" width="18.140625" style="2" customWidth="1"/>
    <col min="35" max="35" width="16" style="2" customWidth="1"/>
    <col min="36" max="36" width="18.140625" style="2" customWidth="1"/>
    <col min="37" max="16384" width="9.140625" style="2"/>
  </cols>
  <sheetData>
    <row r="1" spans="1:39" s="14" customFormat="1" ht="20.25">
      <c r="A1" s="13" t="s">
        <v>271</v>
      </c>
      <c r="J1" s="182"/>
      <c r="K1" s="13" t="s">
        <v>349</v>
      </c>
      <c r="L1" s="184"/>
      <c r="M1" s="185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2"/>
      <c r="AE1" s="13" t="s">
        <v>352</v>
      </c>
      <c r="AG1" s="187"/>
    </row>
    <row r="3" spans="1:39">
      <c r="A3" s="12" t="s">
        <v>346</v>
      </c>
      <c r="K3" s="38" t="s">
        <v>350</v>
      </c>
      <c r="AE3" s="38" t="s">
        <v>353</v>
      </c>
      <c r="AH3" s="18"/>
      <c r="AI3" s="18"/>
      <c r="AJ3" s="18"/>
      <c r="AK3" s="18"/>
      <c r="AL3" s="18"/>
      <c r="AM3" s="18"/>
    </row>
    <row r="4" spans="1:39">
      <c r="AF4" s="18"/>
      <c r="AH4" s="18"/>
      <c r="AI4" s="18"/>
      <c r="AJ4" s="18"/>
      <c r="AK4" s="18"/>
      <c r="AL4" s="18"/>
      <c r="AM4" s="18"/>
    </row>
    <row r="5" spans="1:39">
      <c r="B5" s="4" t="s">
        <v>25</v>
      </c>
      <c r="C5" s="4" t="s">
        <v>43</v>
      </c>
      <c r="D5" s="4" t="s">
        <v>341</v>
      </c>
      <c r="E5" s="4" t="s">
        <v>340</v>
      </c>
      <c r="N5" s="133" t="s">
        <v>15</v>
      </c>
      <c r="O5" s="122"/>
      <c r="P5" s="133" t="s">
        <v>16</v>
      </c>
      <c r="Q5" s="122"/>
      <c r="R5" s="133" t="s">
        <v>17</v>
      </c>
      <c r="S5" s="121"/>
      <c r="AF5" s="18"/>
      <c r="AH5" s="133" t="s">
        <v>15</v>
      </c>
      <c r="AI5" s="122"/>
      <c r="AJ5" s="133" t="s">
        <v>16</v>
      </c>
      <c r="AK5" s="122"/>
      <c r="AL5" s="133" t="s">
        <v>17</v>
      </c>
      <c r="AM5" s="121"/>
    </row>
    <row r="6" spans="1:39">
      <c r="B6" s="5">
        <v>1</v>
      </c>
      <c r="C6" s="8" t="s">
        <v>44</v>
      </c>
      <c r="D6" s="8">
        <v>1.1000000000000001</v>
      </c>
      <c r="E6" s="8">
        <v>0.9</v>
      </c>
      <c r="L6" s="51" t="s">
        <v>25</v>
      </c>
      <c r="M6" s="138" t="s">
        <v>43</v>
      </c>
      <c r="N6" s="18" t="s">
        <v>13</v>
      </c>
      <c r="O6" s="18" t="s">
        <v>12</v>
      </c>
      <c r="P6" s="18" t="s">
        <v>13</v>
      </c>
      <c r="Q6" s="18" t="s">
        <v>12</v>
      </c>
      <c r="R6" s="18" t="s">
        <v>13</v>
      </c>
      <c r="S6" s="18" t="s">
        <v>12</v>
      </c>
      <c r="AF6" s="51" t="s">
        <v>25</v>
      </c>
      <c r="AG6" s="138" t="s">
        <v>43</v>
      </c>
      <c r="AH6" s="18" t="s">
        <v>13</v>
      </c>
      <c r="AI6" s="18" t="s">
        <v>12</v>
      </c>
      <c r="AJ6" s="18" t="s">
        <v>13</v>
      </c>
      <c r="AK6" s="18" t="s">
        <v>12</v>
      </c>
      <c r="AL6" s="18" t="s">
        <v>13</v>
      </c>
      <c r="AM6" s="18" t="s">
        <v>12</v>
      </c>
    </row>
    <row r="7" spans="1:39">
      <c r="B7" s="5">
        <v>2</v>
      </c>
      <c r="C7" s="8" t="s">
        <v>45</v>
      </c>
      <c r="D7" s="8">
        <v>1.1000000000000001</v>
      </c>
      <c r="E7" s="8">
        <v>0.9</v>
      </c>
      <c r="L7" s="170">
        <v>1</v>
      </c>
      <c r="M7" s="186" t="str">
        <f>Intervention!C6</f>
        <v>Intervention 1</v>
      </c>
      <c r="N7" s="20">
        <v>0.01</v>
      </c>
      <c r="O7" s="20">
        <v>0.01</v>
      </c>
      <c r="P7" s="20">
        <v>0.01</v>
      </c>
      <c r="Q7" s="20">
        <v>0.01</v>
      </c>
      <c r="R7" s="20">
        <v>0.01</v>
      </c>
      <c r="S7" s="20">
        <v>0.01</v>
      </c>
      <c r="AF7" s="170">
        <v>1</v>
      </c>
      <c r="AG7" s="180" t="str">
        <f t="shared" ref="AG7:AG16" si="0">M7</f>
        <v>Intervention 1</v>
      </c>
      <c r="AH7" s="20">
        <v>0.1</v>
      </c>
      <c r="AI7" s="20">
        <v>0.1</v>
      </c>
      <c r="AJ7" s="20">
        <v>0.1</v>
      </c>
      <c r="AK7" s="20">
        <v>0.1</v>
      </c>
      <c r="AL7" s="20">
        <v>0.1</v>
      </c>
      <c r="AM7" s="20">
        <v>0.1</v>
      </c>
    </row>
    <row r="8" spans="1:39">
      <c r="B8" s="5">
        <v>3</v>
      </c>
      <c r="C8" s="8" t="s">
        <v>46</v>
      </c>
      <c r="D8" s="8">
        <v>1.1000000000000001</v>
      </c>
      <c r="E8" s="8">
        <v>0.9</v>
      </c>
      <c r="L8" s="170">
        <v>2</v>
      </c>
      <c r="M8" s="186" t="str">
        <f>Intervention!C7</f>
        <v>Intervention 2</v>
      </c>
      <c r="N8" s="20">
        <v>0.01</v>
      </c>
      <c r="O8" s="20">
        <v>0.01</v>
      </c>
      <c r="P8" s="20">
        <v>0.01</v>
      </c>
      <c r="Q8" s="20">
        <v>0.01</v>
      </c>
      <c r="R8" s="20">
        <v>0.01</v>
      </c>
      <c r="S8" s="20">
        <v>0.01</v>
      </c>
      <c r="AF8" s="170">
        <v>2</v>
      </c>
      <c r="AG8" s="180" t="str">
        <f t="shared" si="0"/>
        <v>Intervention 2</v>
      </c>
      <c r="AH8" s="20">
        <v>0.1</v>
      </c>
      <c r="AI8" s="20">
        <v>0.1</v>
      </c>
      <c r="AJ8" s="20">
        <v>0.1</v>
      </c>
      <c r="AK8" s="20">
        <v>0.1</v>
      </c>
      <c r="AL8" s="20">
        <v>0.1</v>
      </c>
      <c r="AM8" s="20">
        <v>0.1</v>
      </c>
    </row>
    <row r="9" spans="1:39">
      <c r="B9" s="5">
        <v>4</v>
      </c>
      <c r="C9" s="8" t="s">
        <v>47</v>
      </c>
      <c r="D9" s="8">
        <v>1.1000000000000001</v>
      </c>
      <c r="E9" s="8">
        <v>0.9</v>
      </c>
      <c r="L9" s="170">
        <v>3</v>
      </c>
      <c r="M9" s="186" t="str">
        <f>Intervention!C8</f>
        <v>Intervention 3</v>
      </c>
      <c r="N9" s="20">
        <v>0.01</v>
      </c>
      <c r="O9" s="20">
        <v>0.01</v>
      </c>
      <c r="P9" s="20">
        <v>0.01</v>
      </c>
      <c r="Q9" s="20">
        <v>0.01</v>
      </c>
      <c r="R9" s="20">
        <v>0.01</v>
      </c>
      <c r="S9" s="20">
        <v>0.01</v>
      </c>
      <c r="AF9" s="170">
        <v>3</v>
      </c>
      <c r="AG9" s="180" t="str">
        <f t="shared" si="0"/>
        <v>Intervention 3</v>
      </c>
      <c r="AH9" s="20">
        <v>0.1</v>
      </c>
      <c r="AI9" s="20">
        <v>0.1</v>
      </c>
      <c r="AJ9" s="20">
        <v>0.1</v>
      </c>
      <c r="AK9" s="20">
        <v>0.1</v>
      </c>
      <c r="AL9" s="20">
        <v>0.1</v>
      </c>
      <c r="AM9" s="20">
        <v>0.1</v>
      </c>
    </row>
    <row r="10" spans="1:39">
      <c r="B10" s="5">
        <v>5</v>
      </c>
      <c r="C10" s="8" t="s">
        <v>48</v>
      </c>
      <c r="D10" s="8">
        <v>1.1000000000000001</v>
      </c>
      <c r="E10" s="8">
        <v>0.9</v>
      </c>
      <c r="L10" s="170">
        <v>4</v>
      </c>
      <c r="M10" s="186" t="str">
        <f>Intervention!C9</f>
        <v>Intervention 4</v>
      </c>
      <c r="N10" s="20">
        <v>0.01</v>
      </c>
      <c r="O10" s="20">
        <v>0.01</v>
      </c>
      <c r="P10" s="20">
        <v>0.01</v>
      </c>
      <c r="Q10" s="20">
        <v>0.01</v>
      </c>
      <c r="R10" s="20">
        <v>0.01</v>
      </c>
      <c r="S10" s="20">
        <v>0.01</v>
      </c>
      <c r="AF10" s="170">
        <v>4</v>
      </c>
      <c r="AG10" s="180" t="str">
        <f t="shared" si="0"/>
        <v>Intervention 4</v>
      </c>
      <c r="AH10" s="20">
        <v>0.1</v>
      </c>
      <c r="AI10" s="20">
        <v>0.1</v>
      </c>
      <c r="AJ10" s="20">
        <v>0.1</v>
      </c>
      <c r="AK10" s="20">
        <v>0.1</v>
      </c>
      <c r="AL10" s="20">
        <v>0.1</v>
      </c>
      <c r="AM10" s="20">
        <v>0.1</v>
      </c>
    </row>
    <row r="11" spans="1:39">
      <c r="B11" s="5">
        <v>6</v>
      </c>
      <c r="C11" s="8" t="s">
        <v>49</v>
      </c>
      <c r="D11" s="8">
        <v>1.1000000000000001</v>
      </c>
      <c r="E11" s="8">
        <v>0.9</v>
      </c>
      <c r="L11" s="170">
        <v>5</v>
      </c>
      <c r="M11" s="186" t="str">
        <f>Intervention!C10</f>
        <v>Intervention 5</v>
      </c>
      <c r="N11" s="20">
        <v>0.01</v>
      </c>
      <c r="O11" s="20">
        <v>0.01</v>
      </c>
      <c r="P11" s="20">
        <v>0.01</v>
      </c>
      <c r="Q11" s="20">
        <v>0.01</v>
      </c>
      <c r="R11" s="20">
        <v>0.01</v>
      </c>
      <c r="S11" s="20">
        <v>0.01</v>
      </c>
      <c r="AF11" s="170">
        <v>5</v>
      </c>
      <c r="AG11" s="180" t="str">
        <f t="shared" si="0"/>
        <v>Intervention 5</v>
      </c>
      <c r="AH11" s="20">
        <v>0.1</v>
      </c>
      <c r="AI11" s="20">
        <v>0.1</v>
      </c>
      <c r="AJ11" s="20">
        <v>0.1</v>
      </c>
      <c r="AK11" s="20">
        <v>0.1</v>
      </c>
      <c r="AL11" s="20">
        <v>0.1</v>
      </c>
      <c r="AM11" s="20">
        <v>0.1</v>
      </c>
    </row>
    <row r="12" spans="1:39">
      <c r="B12" s="5">
        <v>7</v>
      </c>
      <c r="C12" s="8" t="s">
        <v>50</v>
      </c>
      <c r="D12" s="8">
        <v>1.1000000000000001</v>
      </c>
      <c r="E12" s="8">
        <v>0.9</v>
      </c>
      <c r="L12" s="170">
        <v>6</v>
      </c>
      <c r="M12" s="186" t="str">
        <f>Intervention!C11</f>
        <v>Intervention 6</v>
      </c>
      <c r="N12" s="20">
        <v>0.01</v>
      </c>
      <c r="O12" s="20">
        <v>0.01</v>
      </c>
      <c r="P12" s="20">
        <v>0.01</v>
      </c>
      <c r="Q12" s="20">
        <v>0.01</v>
      </c>
      <c r="R12" s="20">
        <v>0.01</v>
      </c>
      <c r="S12" s="20">
        <v>0.01</v>
      </c>
      <c r="AF12" s="170">
        <v>6</v>
      </c>
      <c r="AG12" s="180" t="str">
        <f t="shared" si="0"/>
        <v>Intervention 6</v>
      </c>
      <c r="AH12" s="20">
        <v>0.1</v>
      </c>
      <c r="AI12" s="20">
        <v>0.1</v>
      </c>
      <c r="AJ12" s="20">
        <v>0.1</v>
      </c>
      <c r="AK12" s="20">
        <v>0.1</v>
      </c>
      <c r="AL12" s="20">
        <v>0.1</v>
      </c>
      <c r="AM12" s="20">
        <v>0.1</v>
      </c>
    </row>
    <row r="13" spans="1:39">
      <c r="B13" s="5">
        <v>8</v>
      </c>
      <c r="C13" s="8" t="s">
        <v>51</v>
      </c>
      <c r="D13" s="8">
        <v>1.1000000000000001</v>
      </c>
      <c r="E13" s="8">
        <v>0.9</v>
      </c>
      <c r="L13" s="170">
        <v>7</v>
      </c>
      <c r="M13" s="186" t="str">
        <f>Intervention!C12</f>
        <v>Intervention 7</v>
      </c>
      <c r="N13" s="20">
        <v>0.01</v>
      </c>
      <c r="O13" s="20">
        <v>0.01</v>
      </c>
      <c r="P13" s="20">
        <v>0.01</v>
      </c>
      <c r="Q13" s="20">
        <v>0.01</v>
      </c>
      <c r="R13" s="20">
        <v>0.01</v>
      </c>
      <c r="S13" s="20">
        <v>0.01</v>
      </c>
      <c r="AF13" s="170">
        <v>7</v>
      </c>
      <c r="AG13" s="180" t="str">
        <f t="shared" si="0"/>
        <v>Intervention 7</v>
      </c>
      <c r="AH13" s="20">
        <v>0.1</v>
      </c>
      <c r="AI13" s="20">
        <v>0.1</v>
      </c>
      <c r="AJ13" s="20">
        <v>0.1</v>
      </c>
      <c r="AK13" s="20">
        <v>0.1</v>
      </c>
      <c r="AL13" s="20">
        <v>0.1</v>
      </c>
      <c r="AM13" s="20">
        <v>0.1</v>
      </c>
    </row>
    <row r="14" spans="1:39">
      <c r="B14" s="5">
        <v>9</v>
      </c>
      <c r="C14" s="8" t="s">
        <v>52</v>
      </c>
      <c r="D14" s="8">
        <v>1.1000000000000001</v>
      </c>
      <c r="E14" s="8">
        <v>0.9</v>
      </c>
      <c r="L14" s="170">
        <v>8</v>
      </c>
      <c r="M14" s="186" t="str">
        <f>Intervention!C13</f>
        <v>Intervention 8</v>
      </c>
      <c r="N14" s="20">
        <v>0.01</v>
      </c>
      <c r="O14" s="20">
        <v>0.01</v>
      </c>
      <c r="P14" s="20">
        <v>0.01</v>
      </c>
      <c r="Q14" s="20">
        <v>0.01</v>
      </c>
      <c r="R14" s="20">
        <v>0.01</v>
      </c>
      <c r="S14" s="20">
        <v>0.01</v>
      </c>
      <c r="AF14" s="170">
        <v>8</v>
      </c>
      <c r="AG14" s="180" t="str">
        <f t="shared" si="0"/>
        <v>Intervention 8</v>
      </c>
      <c r="AH14" s="20">
        <v>0.1</v>
      </c>
      <c r="AI14" s="20">
        <v>0.1</v>
      </c>
      <c r="AJ14" s="20">
        <v>0.1</v>
      </c>
      <c r="AK14" s="20">
        <v>0.1</v>
      </c>
      <c r="AL14" s="20">
        <v>0.1</v>
      </c>
      <c r="AM14" s="20">
        <v>0.1</v>
      </c>
    </row>
    <row r="15" spans="1:39">
      <c r="B15" s="5">
        <v>10</v>
      </c>
      <c r="C15" s="8" t="s">
        <v>53</v>
      </c>
      <c r="D15" s="8">
        <v>1.1000000000000001</v>
      </c>
      <c r="E15" s="8">
        <v>0.9</v>
      </c>
      <c r="L15" s="170">
        <v>9</v>
      </c>
      <c r="M15" s="186" t="str">
        <f>Intervention!C14</f>
        <v>Intervention 9</v>
      </c>
      <c r="N15" s="20">
        <v>0.01</v>
      </c>
      <c r="O15" s="20">
        <v>0.01</v>
      </c>
      <c r="P15" s="20">
        <v>0.01</v>
      </c>
      <c r="Q15" s="20">
        <v>0.01</v>
      </c>
      <c r="R15" s="20">
        <v>0.01</v>
      </c>
      <c r="S15" s="20">
        <v>0.01</v>
      </c>
      <c r="AF15" s="170">
        <v>9</v>
      </c>
      <c r="AG15" s="180" t="str">
        <f t="shared" si="0"/>
        <v>Intervention 9</v>
      </c>
      <c r="AH15" s="20">
        <v>0.1</v>
      </c>
      <c r="AI15" s="20">
        <v>0.1</v>
      </c>
      <c r="AJ15" s="20">
        <v>0.1</v>
      </c>
      <c r="AK15" s="20">
        <v>0.1</v>
      </c>
      <c r="AL15" s="20">
        <v>0.1</v>
      </c>
      <c r="AM15" s="20">
        <v>0.1</v>
      </c>
    </row>
    <row r="16" spans="1:39">
      <c r="L16" s="170">
        <v>10</v>
      </c>
      <c r="M16" s="186" t="str">
        <f>Intervention!C15</f>
        <v>Intervention 10</v>
      </c>
      <c r="N16" s="20">
        <v>0.01</v>
      </c>
      <c r="O16" s="20">
        <v>0.01</v>
      </c>
      <c r="P16" s="20">
        <v>0.01</v>
      </c>
      <c r="Q16" s="20">
        <v>0.01</v>
      </c>
      <c r="R16" s="20">
        <v>0.01</v>
      </c>
      <c r="S16" s="20">
        <v>0.01</v>
      </c>
      <c r="AF16" s="170">
        <v>10</v>
      </c>
      <c r="AG16" s="180" t="str">
        <f t="shared" si="0"/>
        <v>Intervention 10</v>
      </c>
      <c r="AH16" s="20">
        <v>0.1</v>
      </c>
      <c r="AI16" s="20">
        <v>0.1</v>
      </c>
      <c r="AJ16" s="20">
        <v>0.1</v>
      </c>
      <c r="AK16" s="20">
        <v>0.1</v>
      </c>
      <c r="AL16" s="20">
        <v>0.1</v>
      </c>
      <c r="AM16" s="20">
        <v>0.1</v>
      </c>
    </row>
    <row r="18" spans="1:36">
      <c r="A18" s="12" t="s">
        <v>54</v>
      </c>
    </row>
    <row r="19" spans="1:36">
      <c r="K19" s="38" t="s">
        <v>351</v>
      </c>
      <c r="AE19" s="12" t="s">
        <v>354</v>
      </c>
    </row>
    <row r="20" spans="1:36">
      <c r="B20" s="4" t="s">
        <v>25</v>
      </c>
      <c r="C20" s="4" t="s">
        <v>43</v>
      </c>
      <c r="D20" s="4" t="s">
        <v>348</v>
      </c>
      <c r="E20" s="4" t="s">
        <v>347</v>
      </c>
      <c r="F20" s="4" t="s">
        <v>342</v>
      </c>
      <c r="G20" s="4" t="s">
        <v>343</v>
      </c>
      <c r="H20" s="36"/>
      <c r="I20" s="36"/>
      <c r="N20" s="121"/>
      <c r="O20" s="121"/>
      <c r="P20" s="121"/>
    </row>
    <row r="21" spans="1:36">
      <c r="B21" s="5">
        <v>1</v>
      </c>
      <c r="C21" s="180" t="str">
        <f t="shared" ref="C21:C30" si="1">C6</f>
        <v>Intervention 1</v>
      </c>
      <c r="D21" s="8">
        <v>1E-3</v>
      </c>
      <c r="E21" s="8">
        <v>0.1</v>
      </c>
      <c r="F21" s="119">
        <v>0</v>
      </c>
      <c r="G21" s="118">
        <v>0</v>
      </c>
      <c r="H21" s="181"/>
      <c r="I21" s="181"/>
      <c r="N21" s="133" t="s">
        <v>15</v>
      </c>
      <c r="O21" s="122"/>
      <c r="P21" s="133" t="s">
        <v>16</v>
      </c>
      <c r="Q21" s="122"/>
      <c r="R21" s="133" t="s">
        <v>17</v>
      </c>
      <c r="S21" s="121"/>
      <c r="AF21" s="4" t="s">
        <v>25</v>
      </c>
      <c r="AG21" s="188" t="s">
        <v>43</v>
      </c>
      <c r="AH21" s="4" t="s">
        <v>55</v>
      </c>
      <c r="AI21" s="4" t="s">
        <v>344</v>
      </c>
      <c r="AJ21" s="4" t="s">
        <v>345</v>
      </c>
    </row>
    <row r="22" spans="1:36">
      <c r="B22" s="5">
        <v>2</v>
      </c>
      <c r="C22" s="180" t="str">
        <f t="shared" si="1"/>
        <v>Intervention 2</v>
      </c>
      <c r="D22" s="8">
        <v>1E-3</v>
      </c>
      <c r="E22" s="8">
        <v>0.1</v>
      </c>
      <c r="F22" s="119">
        <v>0</v>
      </c>
      <c r="G22" s="118">
        <v>0</v>
      </c>
      <c r="H22" s="181"/>
      <c r="I22" s="181"/>
      <c r="L22" s="51" t="s">
        <v>25</v>
      </c>
      <c r="M22" s="138" t="s">
        <v>43</v>
      </c>
      <c r="N22" s="18" t="s">
        <v>13</v>
      </c>
      <c r="O22" s="18" t="s">
        <v>12</v>
      </c>
      <c r="P22" s="18" t="s">
        <v>13</v>
      </c>
      <c r="Q22" s="18" t="s">
        <v>12</v>
      </c>
      <c r="R22" s="18" t="s">
        <v>13</v>
      </c>
      <c r="S22" s="18" t="s">
        <v>12</v>
      </c>
      <c r="AF22" s="5">
        <v>1</v>
      </c>
      <c r="AG22" s="180" t="str">
        <f t="shared" ref="AG22:AG31" si="2">C21</f>
        <v>Intervention 1</v>
      </c>
      <c r="AH22" s="119">
        <v>0</v>
      </c>
      <c r="AI22" s="8">
        <v>12</v>
      </c>
      <c r="AJ22" s="8">
        <v>12</v>
      </c>
    </row>
    <row r="23" spans="1:36">
      <c r="B23" s="5">
        <v>3</v>
      </c>
      <c r="C23" s="180" t="str">
        <f t="shared" si="1"/>
        <v>Intervention 3</v>
      </c>
      <c r="D23" s="8">
        <v>1E-3</v>
      </c>
      <c r="E23" s="8">
        <v>0.1</v>
      </c>
      <c r="F23" s="119">
        <v>0</v>
      </c>
      <c r="G23" s="118">
        <v>0</v>
      </c>
      <c r="H23" s="181"/>
      <c r="I23" s="181"/>
      <c r="L23" s="170">
        <v>1</v>
      </c>
      <c r="M23" s="186" t="str">
        <f t="shared" ref="M23:M32" si="3">M7</f>
        <v>Intervention 1</v>
      </c>
      <c r="N23" s="20">
        <v>0.1</v>
      </c>
      <c r="O23" s="20">
        <v>0.1</v>
      </c>
      <c r="P23" s="20">
        <v>0.1</v>
      </c>
      <c r="Q23" s="20">
        <v>0.1</v>
      </c>
      <c r="R23" s="20">
        <v>0.1</v>
      </c>
      <c r="S23" s="20">
        <v>0.1</v>
      </c>
      <c r="AF23" s="5">
        <v>2</v>
      </c>
      <c r="AG23" s="180" t="str">
        <f t="shared" si="2"/>
        <v>Intervention 2</v>
      </c>
      <c r="AH23" s="119">
        <v>0</v>
      </c>
      <c r="AI23" s="8">
        <v>12</v>
      </c>
      <c r="AJ23" s="8">
        <v>12</v>
      </c>
    </row>
    <row r="24" spans="1:36">
      <c r="B24" s="5">
        <v>4</v>
      </c>
      <c r="C24" s="180" t="str">
        <f t="shared" si="1"/>
        <v>Intervention 4</v>
      </c>
      <c r="D24" s="8">
        <v>1E-3</v>
      </c>
      <c r="E24" s="8">
        <v>0.1</v>
      </c>
      <c r="F24" s="119">
        <v>0</v>
      </c>
      <c r="G24" s="118">
        <v>0</v>
      </c>
      <c r="H24" s="181"/>
      <c r="I24" s="181"/>
      <c r="L24" s="170">
        <v>2</v>
      </c>
      <c r="M24" s="186" t="str">
        <f t="shared" si="3"/>
        <v>Intervention 2</v>
      </c>
      <c r="N24" s="20">
        <v>0.1</v>
      </c>
      <c r="O24" s="20">
        <v>0.1</v>
      </c>
      <c r="P24" s="20">
        <v>0.1</v>
      </c>
      <c r="Q24" s="20">
        <v>0.1</v>
      </c>
      <c r="R24" s="20">
        <v>0.1</v>
      </c>
      <c r="S24" s="20">
        <v>0.1</v>
      </c>
      <c r="AF24" s="5">
        <v>3</v>
      </c>
      <c r="AG24" s="180" t="str">
        <f t="shared" si="2"/>
        <v>Intervention 3</v>
      </c>
      <c r="AH24" s="119">
        <v>0</v>
      </c>
      <c r="AI24" s="8">
        <v>12</v>
      </c>
      <c r="AJ24" s="8">
        <v>12</v>
      </c>
    </row>
    <row r="25" spans="1:36">
      <c r="B25" s="5">
        <v>5</v>
      </c>
      <c r="C25" s="180" t="str">
        <f t="shared" si="1"/>
        <v>Intervention 5</v>
      </c>
      <c r="D25" s="8">
        <v>1E-3</v>
      </c>
      <c r="E25" s="8">
        <v>0.1</v>
      </c>
      <c r="F25" s="119">
        <v>0</v>
      </c>
      <c r="G25" s="118">
        <v>0</v>
      </c>
      <c r="H25" s="181"/>
      <c r="I25" s="181"/>
      <c r="L25" s="170">
        <v>3</v>
      </c>
      <c r="M25" s="186" t="str">
        <f t="shared" si="3"/>
        <v>Intervention 3</v>
      </c>
      <c r="N25" s="20">
        <v>0.1</v>
      </c>
      <c r="O25" s="20">
        <v>0.1</v>
      </c>
      <c r="P25" s="20">
        <v>0.1</v>
      </c>
      <c r="Q25" s="20">
        <v>0.1</v>
      </c>
      <c r="R25" s="20">
        <v>0.1</v>
      </c>
      <c r="S25" s="20">
        <v>0.1</v>
      </c>
      <c r="AF25" s="5">
        <v>4</v>
      </c>
      <c r="AG25" s="180" t="str">
        <f t="shared" si="2"/>
        <v>Intervention 4</v>
      </c>
      <c r="AH25" s="119">
        <v>0</v>
      </c>
      <c r="AI25" s="8">
        <v>12</v>
      </c>
      <c r="AJ25" s="8">
        <v>12</v>
      </c>
    </row>
    <row r="26" spans="1:36">
      <c r="B26" s="5">
        <v>6</v>
      </c>
      <c r="C26" s="180" t="str">
        <f t="shared" si="1"/>
        <v>Intervention 6</v>
      </c>
      <c r="D26" s="8">
        <v>1E-3</v>
      </c>
      <c r="E26" s="8">
        <v>0.1</v>
      </c>
      <c r="F26" s="119">
        <v>0</v>
      </c>
      <c r="G26" s="118">
        <v>0</v>
      </c>
      <c r="H26" s="181"/>
      <c r="I26" s="181"/>
      <c r="L26" s="170">
        <v>4</v>
      </c>
      <c r="M26" s="186" t="str">
        <f t="shared" si="3"/>
        <v>Intervention 4</v>
      </c>
      <c r="N26" s="20">
        <v>0.1</v>
      </c>
      <c r="O26" s="20">
        <v>0.1</v>
      </c>
      <c r="P26" s="20">
        <v>0.1</v>
      </c>
      <c r="Q26" s="20">
        <v>0.1</v>
      </c>
      <c r="R26" s="20">
        <v>0.1</v>
      </c>
      <c r="S26" s="20">
        <v>0.1</v>
      </c>
      <c r="AF26" s="5">
        <v>5</v>
      </c>
      <c r="AG26" s="180" t="str">
        <f t="shared" si="2"/>
        <v>Intervention 5</v>
      </c>
      <c r="AH26" s="119">
        <v>0</v>
      </c>
      <c r="AI26" s="8">
        <v>12</v>
      </c>
      <c r="AJ26" s="8">
        <v>12</v>
      </c>
    </row>
    <row r="27" spans="1:36">
      <c r="B27" s="5">
        <v>7</v>
      </c>
      <c r="C27" s="180" t="str">
        <f t="shared" si="1"/>
        <v>Intervention 7</v>
      </c>
      <c r="D27" s="8">
        <v>1E-3</v>
      </c>
      <c r="E27" s="8">
        <v>0.1</v>
      </c>
      <c r="F27" s="119">
        <v>0</v>
      </c>
      <c r="G27" s="118">
        <v>0</v>
      </c>
      <c r="H27" s="181"/>
      <c r="I27" s="181"/>
      <c r="L27" s="170">
        <v>5</v>
      </c>
      <c r="M27" s="186" t="str">
        <f t="shared" si="3"/>
        <v>Intervention 5</v>
      </c>
      <c r="N27" s="20">
        <v>0.1</v>
      </c>
      <c r="O27" s="20">
        <v>0.1</v>
      </c>
      <c r="P27" s="20">
        <v>0.1</v>
      </c>
      <c r="Q27" s="20">
        <v>0.1</v>
      </c>
      <c r="R27" s="20">
        <v>0.1</v>
      </c>
      <c r="S27" s="20">
        <v>0.1</v>
      </c>
      <c r="AF27" s="5">
        <v>6</v>
      </c>
      <c r="AG27" s="180" t="str">
        <f t="shared" si="2"/>
        <v>Intervention 6</v>
      </c>
      <c r="AH27" s="119">
        <v>0</v>
      </c>
      <c r="AI27" s="8">
        <v>12</v>
      </c>
      <c r="AJ27" s="8">
        <v>12</v>
      </c>
    </row>
    <row r="28" spans="1:36">
      <c r="B28" s="5">
        <v>8</v>
      </c>
      <c r="C28" s="180" t="str">
        <f t="shared" si="1"/>
        <v>Intervention 8</v>
      </c>
      <c r="D28" s="8">
        <v>1E-3</v>
      </c>
      <c r="E28" s="8">
        <v>0.1</v>
      </c>
      <c r="F28" s="119">
        <v>0</v>
      </c>
      <c r="G28" s="118">
        <v>0</v>
      </c>
      <c r="H28" s="181"/>
      <c r="I28" s="181"/>
      <c r="L28" s="170">
        <v>6</v>
      </c>
      <c r="M28" s="186" t="str">
        <f t="shared" si="3"/>
        <v>Intervention 6</v>
      </c>
      <c r="N28" s="20">
        <v>0.1</v>
      </c>
      <c r="O28" s="20">
        <v>0.1</v>
      </c>
      <c r="P28" s="20">
        <v>0.1</v>
      </c>
      <c r="Q28" s="20">
        <v>0.1</v>
      </c>
      <c r="R28" s="20">
        <v>0.1</v>
      </c>
      <c r="S28" s="20">
        <v>0.1</v>
      </c>
      <c r="AF28" s="5">
        <v>7</v>
      </c>
      <c r="AG28" s="180" t="str">
        <f t="shared" si="2"/>
        <v>Intervention 7</v>
      </c>
      <c r="AH28" s="119">
        <v>0</v>
      </c>
      <c r="AI28" s="8">
        <v>12</v>
      </c>
      <c r="AJ28" s="8">
        <v>12</v>
      </c>
    </row>
    <row r="29" spans="1:36">
      <c r="B29" s="5">
        <v>9</v>
      </c>
      <c r="C29" s="180" t="str">
        <f t="shared" si="1"/>
        <v>Intervention 9</v>
      </c>
      <c r="D29" s="8">
        <v>1E-3</v>
      </c>
      <c r="E29" s="8">
        <v>0.1</v>
      </c>
      <c r="F29" s="119">
        <v>0</v>
      </c>
      <c r="G29" s="118">
        <v>0</v>
      </c>
      <c r="H29" s="181"/>
      <c r="I29" s="181"/>
      <c r="L29" s="170">
        <v>7</v>
      </c>
      <c r="M29" s="186" t="str">
        <f t="shared" si="3"/>
        <v>Intervention 7</v>
      </c>
      <c r="N29" s="20">
        <v>0.1</v>
      </c>
      <c r="O29" s="20">
        <v>0.1</v>
      </c>
      <c r="P29" s="20">
        <v>0.1</v>
      </c>
      <c r="Q29" s="20">
        <v>0.1</v>
      </c>
      <c r="R29" s="20">
        <v>0.1</v>
      </c>
      <c r="S29" s="20">
        <v>0.1</v>
      </c>
      <c r="AF29" s="5">
        <v>8</v>
      </c>
      <c r="AG29" s="180" t="str">
        <f t="shared" si="2"/>
        <v>Intervention 8</v>
      </c>
      <c r="AH29" s="119">
        <v>0</v>
      </c>
      <c r="AI29" s="8">
        <v>12</v>
      </c>
      <c r="AJ29" s="8">
        <v>12</v>
      </c>
    </row>
    <row r="30" spans="1:36">
      <c r="B30" s="5">
        <v>10</v>
      </c>
      <c r="C30" s="180" t="str">
        <f t="shared" si="1"/>
        <v>Intervention 10</v>
      </c>
      <c r="D30" s="8">
        <v>1E-3</v>
      </c>
      <c r="E30" s="8">
        <v>0.1</v>
      </c>
      <c r="F30" s="119">
        <v>0</v>
      </c>
      <c r="G30" s="118">
        <v>0</v>
      </c>
      <c r="H30" s="181"/>
      <c r="I30" s="181"/>
      <c r="L30" s="170">
        <v>8</v>
      </c>
      <c r="M30" s="186" t="str">
        <f t="shared" si="3"/>
        <v>Intervention 8</v>
      </c>
      <c r="N30" s="20">
        <v>0.1</v>
      </c>
      <c r="O30" s="20">
        <v>0.1</v>
      </c>
      <c r="P30" s="20">
        <v>0.1</v>
      </c>
      <c r="Q30" s="20">
        <v>0.1</v>
      </c>
      <c r="R30" s="20">
        <v>0.1</v>
      </c>
      <c r="S30" s="20">
        <v>0.1</v>
      </c>
      <c r="AF30" s="5">
        <v>9</v>
      </c>
      <c r="AG30" s="180" t="str">
        <f t="shared" si="2"/>
        <v>Intervention 9</v>
      </c>
      <c r="AH30" s="119">
        <v>0</v>
      </c>
      <c r="AI30" s="8">
        <v>12</v>
      </c>
      <c r="AJ30" s="8">
        <v>12</v>
      </c>
    </row>
    <row r="31" spans="1:36">
      <c r="F31" s="30" t="s">
        <v>42</v>
      </c>
      <c r="G31" s="30" t="s">
        <v>42</v>
      </c>
      <c r="H31" s="30"/>
      <c r="I31" s="30"/>
      <c r="L31" s="170">
        <v>9</v>
      </c>
      <c r="M31" s="186" t="str">
        <f t="shared" si="3"/>
        <v>Intervention 9</v>
      </c>
      <c r="N31" s="20">
        <v>0.1</v>
      </c>
      <c r="O31" s="20">
        <v>0.1</v>
      </c>
      <c r="P31" s="20">
        <v>0.1</v>
      </c>
      <c r="Q31" s="20">
        <v>0.1</v>
      </c>
      <c r="R31" s="20">
        <v>0.1</v>
      </c>
      <c r="S31" s="20">
        <v>0.1</v>
      </c>
      <c r="AF31" s="5">
        <v>10</v>
      </c>
      <c r="AG31" s="180" t="str">
        <f t="shared" si="2"/>
        <v>Intervention 10</v>
      </c>
      <c r="AH31" s="119">
        <v>0</v>
      </c>
      <c r="AI31" s="8">
        <v>12</v>
      </c>
      <c r="AJ31" s="8">
        <v>12</v>
      </c>
    </row>
    <row r="32" spans="1:36">
      <c r="L32" s="170">
        <v>10</v>
      </c>
      <c r="M32" s="186" t="str">
        <f t="shared" si="3"/>
        <v>Intervention 10</v>
      </c>
      <c r="N32" s="20">
        <v>0.1</v>
      </c>
      <c r="O32" s="20">
        <v>0.1</v>
      </c>
      <c r="P32" s="20">
        <v>0.1</v>
      </c>
      <c r="Q32" s="20">
        <v>0.1</v>
      </c>
      <c r="R32" s="20">
        <v>0.1</v>
      </c>
      <c r="S32" s="20">
        <v>0.1</v>
      </c>
      <c r="AH32" s="30" t="s">
        <v>42</v>
      </c>
      <c r="AI32" s="60" t="s">
        <v>97</v>
      </c>
      <c r="AJ32" s="60" t="s">
        <v>97</v>
      </c>
    </row>
    <row r="35" spans="11:28">
      <c r="K35" s="38" t="s">
        <v>72</v>
      </c>
    </row>
    <row r="36" spans="11:28">
      <c r="N36" s="2"/>
      <c r="O36" s="122"/>
      <c r="P36" s="122"/>
      <c r="Q36" s="122"/>
      <c r="R36" s="122"/>
      <c r="S36" s="122"/>
      <c r="T36" s="12" t="s">
        <v>22</v>
      </c>
      <c r="U36" s="122"/>
      <c r="V36" s="122"/>
      <c r="W36" s="122"/>
      <c r="X36" s="122"/>
      <c r="Y36" s="122"/>
      <c r="Z36" s="122"/>
      <c r="AA36" s="122"/>
      <c r="AB36" s="122"/>
    </row>
    <row r="37" spans="11:28">
      <c r="K37" s="2" t="s">
        <v>13</v>
      </c>
      <c r="L37" s="51" t="s">
        <v>25</v>
      </c>
      <c r="M37" s="138" t="s">
        <v>43</v>
      </c>
      <c r="N37" s="18" t="s">
        <v>98</v>
      </c>
      <c r="O37" s="18" t="s">
        <v>82</v>
      </c>
      <c r="P37" s="18" t="s">
        <v>83</v>
      </c>
      <c r="Q37" s="18" t="s">
        <v>84</v>
      </c>
      <c r="R37" s="18" t="s">
        <v>85</v>
      </c>
      <c r="S37" s="18" t="s">
        <v>86</v>
      </c>
      <c r="T37" s="18" t="s">
        <v>87</v>
      </c>
      <c r="U37" s="18" t="s">
        <v>88</v>
      </c>
      <c r="V37" s="18" t="s">
        <v>89</v>
      </c>
      <c r="W37" s="18" t="s">
        <v>90</v>
      </c>
      <c r="X37" s="18" t="s">
        <v>91</v>
      </c>
      <c r="Y37" s="18" t="s">
        <v>92</v>
      </c>
      <c r="Z37" s="18" t="s">
        <v>93</v>
      </c>
      <c r="AA37" s="136" t="s">
        <v>94</v>
      </c>
      <c r="AB37" s="137" t="s">
        <v>95</v>
      </c>
    </row>
    <row r="38" spans="11:28">
      <c r="L38" s="170">
        <v>1</v>
      </c>
      <c r="M38" s="186" t="str">
        <f t="shared" ref="M38:M47" si="4">M7</f>
        <v>Intervention 1</v>
      </c>
      <c r="N38" s="20">
        <v>1</v>
      </c>
      <c r="O38" s="20">
        <v>1</v>
      </c>
      <c r="P38" s="20">
        <v>1</v>
      </c>
      <c r="Q38" s="20">
        <v>1</v>
      </c>
      <c r="R38" s="20">
        <v>1</v>
      </c>
      <c r="S38" s="20">
        <v>1</v>
      </c>
      <c r="T38" s="20">
        <v>1</v>
      </c>
      <c r="U38" s="20">
        <v>1</v>
      </c>
      <c r="V38" s="20">
        <v>1</v>
      </c>
      <c r="W38" s="20">
        <v>1</v>
      </c>
      <c r="X38" s="20">
        <v>1</v>
      </c>
      <c r="Y38" s="20">
        <v>1</v>
      </c>
      <c r="Z38" s="20">
        <v>1</v>
      </c>
      <c r="AA38" s="20">
        <v>1</v>
      </c>
      <c r="AB38" s="20">
        <v>1</v>
      </c>
    </row>
    <row r="39" spans="11:28">
      <c r="L39" s="170">
        <v>2</v>
      </c>
      <c r="M39" s="186" t="str">
        <f t="shared" si="4"/>
        <v>Intervention 2</v>
      </c>
      <c r="N39" s="20">
        <v>1</v>
      </c>
      <c r="O39" s="20">
        <v>1</v>
      </c>
      <c r="P39" s="20">
        <v>1</v>
      </c>
      <c r="Q39" s="20">
        <v>1</v>
      </c>
      <c r="R39" s="20">
        <v>1</v>
      </c>
      <c r="S39" s="20">
        <v>1</v>
      </c>
      <c r="T39" s="20">
        <v>1</v>
      </c>
      <c r="U39" s="20">
        <v>1</v>
      </c>
      <c r="V39" s="20">
        <v>1</v>
      </c>
      <c r="W39" s="20">
        <v>1</v>
      </c>
      <c r="X39" s="20">
        <v>1</v>
      </c>
      <c r="Y39" s="20">
        <v>1</v>
      </c>
      <c r="Z39" s="20">
        <v>1</v>
      </c>
      <c r="AA39" s="20">
        <v>1</v>
      </c>
      <c r="AB39" s="20">
        <v>1</v>
      </c>
    </row>
    <row r="40" spans="11:28">
      <c r="L40" s="170">
        <v>3</v>
      </c>
      <c r="M40" s="186" t="str">
        <f t="shared" si="4"/>
        <v>Intervention 3</v>
      </c>
      <c r="N40" s="20">
        <v>1</v>
      </c>
      <c r="O40" s="20">
        <v>1</v>
      </c>
      <c r="P40" s="20">
        <v>1</v>
      </c>
      <c r="Q40" s="20">
        <v>1</v>
      </c>
      <c r="R40" s="20">
        <v>1</v>
      </c>
      <c r="S40" s="20">
        <v>1</v>
      </c>
      <c r="T40" s="20">
        <v>1</v>
      </c>
      <c r="U40" s="20">
        <v>1</v>
      </c>
      <c r="V40" s="20">
        <v>1</v>
      </c>
      <c r="W40" s="20">
        <v>1</v>
      </c>
      <c r="X40" s="20">
        <v>1</v>
      </c>
      <c r="Y40" s="20">
        <v>1</v>
      </c>
      <c r="Z40" s="20">
        <v>1</v>
      </c>
      <c r="AA40" s="20">
        <v>1</v>
      </c>
      <c r="AB40" s="20">
        <v>1</v>
      </c>
    </row>
    <row r="41" spans="11:28">
      <c r="L41" s="170">
        <v>4</v>
      </c>
      <c r="M41" s="186" t="str">
        <f t="shared" si="4"/>
        <v>Intervention 4</v>
      </c>
      <c r="N41" s="20">
        <v>1</v>
      </c>
      <c r="O41" s="20">
        <v>1</v>
      </c>
      <c r="P41" s="20">
        <v>1</v>
      </c>
      <c r="Q41" s="20">
        <v>1</v>
      </c>
      <c r="R41" s="20">
        <v>1</v>
      </c>
      <c r="S41" s="20">
        <v>1</v>
      </c>
      <c r="T41" s="20">
        <v>1</v>
      </c>
      <c r="U41" s="20">
        <v>1</v>
      </c>
      <c r="V41" s="20">
        <v>1</v>
      </c>
      <c r="W41" s="20">
        <v>1</v>
      </c>
      <c r="X41" s="20">
        <v>1</v>
      </c>
      <c r="Y41" s="20">
        <v>1</v>
      </c>
      <c r="Z41" s="20">
        <v>1</v>
      </c>
      <c r="AA41" s="20">
        <v>1</v>
      </c>
      <c r="AB41" s="20">
        <v>1</v>
      </c>
    </row>
    <row r="42" spans="11:28">
      <c r="L42" s="170">
        <v>5</v>
      </c>
      <c r="M42" s="186" t="str">
        <f t="shared" si="4"/>
        <v>Intervention 5</v>
      </c>
      <c r="N42" s="20">
        <v>1</v>
      </c>
      <c r="O42" s="20">
        <v>1</v>
      </c>
      <c r="P42" s="20">
        <v>1</v>
      </c>
      <c r="Q42" s="20">
        <v>1</v>
      </c>
      <c r="R42" s="20">
        <v>1</v>
      </c>
      <c r="S42" s="20">
        <v>1</v>
      </c>
      <c r="T42" s="20">
        <v>1</v>
      </c>
      <c r="U42" s="20">
        <v>1</v>
      </c>
      <c r="V42" s="20">
        <v>1</v>
      </c>
      <c r="W42" s="20">
        <v>1</v>
      </c>
      <c r="X42" s="20">
        <v>1</v>
      </c>
      <c r="Y42" s="20">
        <v>1</v>
      </c>
      <c r="Z42" s="20">
        <v>1</v>
      </c>
      <c r="AA42" s="20">
        <v>1</v>
      </c>
      <c r="AB42" s="20">
        <v>1</v>
      </c>
    </row>
    <row r="43" spans="11:28">
      <c r="L43" s="170">
        <v>6</v>
      </c>
      <c r="M43" s="186" t="str">
        <f t="shared" si="4"/>
        <v>Intervention 6</v>
      </c>
      <c r="N43" s="20">
        <v>1</v>
      </c>
      <c r="O43" s="20">
        <v>1</v>
      </c>
      <c r="P43" s="20">
        <v>1</v>
      </c>
      <c r="Q43" s="20">
        <v>1</v>
      </c>
      <c r="R43" s="20">
        <v>1</v>
      </c>
      <c r="S43" s="20">
        <v>1</v>
      </c>
      <c r="T43" s="20">
        <v>1</v>
      </c>
      <c r="U43" s="20">
        <v>1</v>
      </c>
      <c r="V43" s="20">
        <v>1</v>
      </c>
      <c r="W43" s="20">
        <v>1</v>
      </c>
      <c r="X43" s="20">
        <v>1</v>
      </c>
      <c r="Y43" s="20">
        <v>1</v>
      </c>
      <c r="Z43" s="20">
        <v>1</v>
      </c>
      <c r="AA43" s="20">
        <v>1</v>
      </c>
      <c r="AB43" s="20">
        <v>1</v>
      </c>
    </row>
    <row r="44" spans="11:28">
      <c r="L44" s="170">
        <v>7</v>
      </c>
      <c r="M44" s="186" t="str">
        <f t="shared" si="4"/>
        <v>Intervention 7</v>
      </c>
      <c r="N44" s="20">
        <v>1</v>
      </c>
      <c r="O44" s="20">
        <v>1</v>
      </c>
      <c r="P44" s="20">
        <v>1</v>
      </c>
      <c r="Q44" s="20">
        <v>1</v>
      </c>
      <c r="R44" s="20">
        <v>1</v>
      </c>
      <c r="S44" s="20">
        <v>1</v>
      </c>
      <c r="T44" s="20">
        <v>1</v>
      </c>
      <c r="U44" s="20">
        <v>1</v>
      </c>
      <c r="V44" s="20">
        <v>1</v>
      </c>
      <c r="W44" s="20">
        <v>1</v>
      </c>
      <c r="X44" s="20">
        <v>1</v>
      </c>
      <c r="Y44" s="20">
        <v>1</v>
      </c>
      <c r="Z44" s="20">
        <v>1</v>
      </c>
      <c r="AA44" s="20">
        <v>1</v>
      </c>
      <c r="AB44" s="20">
        <v>1</v>
      </c>
    </row>
    <row r="45" spans="11:28">
      <c r="L45" s="170">
        <v>8</v>
      </c>
      <c r="M45" s="186" t="str">
        <f t="shared" si="4"/>
        <v>Intervention 8</v>
      </c>
      <c r="N45" s="20">
        <v>1</v>
      </c>
      <c r="O45" s="20">
        <v>1</v>
      </c>
      <c r="P45" s="20">
        <v>1</v>
      </c>
      <c r="Q45" s="20">
        <v>1</v>
      </c>
      <c r="R45" s="20">
        <v>1</v>
      </c>
      <c r="S45" s="20">
        <v>1</v>
      </c>
      <c r="T45" s="20">
        <v>1</v>
      </c>
      <c r="U45" s="20">
        <v>1</v>
      </c>
      <c r="V45" s="20">
        <v>1</v>
      </c>
      <c r="W45" s="20">
        <v>1</v>
      </c>
      <c r="X45" s="20">
        <v>1</v>
      </c>
      <c r="Y45" s="20">
        <v>1</v>
      </c>
      <c r="Z45" s="20">
        <v>1</v>
      </c>
      <c r="AA45" s="20">
        <v>1</v>
      </c>
      <c r="AB45" s="20">
        <v>1</v>
      </c>
    </row>
    <row r="46" spans="11:28">
      <c r="L46" s="170">
        <v>9</v>
      </c>
      <c r="M46" s="186" t="str">
        <f t="shared" si="4"/>
        <v>Intervention 9</v>
      </c>
      <c r="N46" s="20">
        <v>1</v>
      </c>
      <c r="O46" s="20">
        <v>1</v>
      </c>
      <c r="P46" s="20">
        <v>1</v>
      </c>
      <c r="Q46" s="20">
        <v>1</v>
      </c>
      <c r="R46" s="20">
        <v>1</v>
      </c>
      <c r="S46" s="20">
        <v>1</v>
      </c>
      <c r="T46" s="20">
        <v>1</v>
      </c>
      <c r="U46" s="20">
        <v>1</v>
      </c>
      <c r="V46" s="20">
        <v>1</v>
      </c>
      <c r="W46" s="20">
        <v>1</v>
      </c>
      <c r="X46" s="20">
        <v>1</v>
      </c>
      <c r="Y46" s="20">
        <v>1</v>
      </c>
      <c r="Z46" s="20">
        <v>1</v>
      </c>
      <c r="AA46" s="20">
        <v>1</v>
      </c>
      <c r="AB46" s="20">
        <v>1</v>
      </c>
    </row>
    <row r="47" spans="11:28">
      <c r="L47" s="170">
        <v>10</v>
      </c>
      <c r="M47" s="186" t="str">
        <f t="shared" si="4"/>
        <v>Intervention 10</v>
      </c>
      <c r="N47" s="20">
        <v>1</v>
      </c>
      <c r="O47" s="20">
        <v>1</v>
      </c>
      <c r="P47" s="20">
        <v>1</v>
      </c>
      <c r="Q47" s="20">
        <v>1</v>
      </c>
      <c r="R47" s="20">
        <v>1</v>
      </c>
      <c r="S47" s="20">
        <v>1</v>
      </c>
      <c r="T47" s="20">
        <v>1</v>
      </c>
      <c r="U47" s="20">
        <v>1</v>
      </c>
      <c r="V47" s="20">
        <v>1</v>
      </c>
      <c r="W47" s="20">
        <v>1</v>
      </c>
      <c r="X47" s="20">
        <v>1</v>
      </c>
      <c r="Y47" s="20">
        <v>1</v>
      </c>
      <c r="Z47" s="20">
        <v>1</v>
      </c>
      <c r="AA47" s="20">
        <v>1</v>
      </c>
      <c r="AB47" s="20">
        <v>1</v>
      </c>
    </row>
    <row r="48" spans="11:28"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1:28">
      <c r="N49" s="2"/>
      <c r="O49" s="122"/>
      <c r="P49" s="122"/>
      <c r="Q49" s="122"/>
      <c r="R49" s="122"/>
      <c r="S49" s="122"/>
      <c r="T49" s="12" t="s">
        <v>22</v>
      </c>
      <c r="U49" s="122"/>
      <c r="V49" s="122"/>
      <c r="W49" s="122"/>
      <c r="X49" s="122"/>
      <c r="Y49" s="122"/>
      <c r="Z49" s="122"/>
      <c r="AA49" s="122"/>
      <c r="AB49" s="122"/>
    </row>
    <row r="50" spans="11:28">
      <c r="K50" s="2" t="s">
        <v>12</v>
      </c>
      <c r="L50" s="51" t="s">
        <v>25</v>
      </c>
      <c r="M50" s="138" t="s">
        <v>43</v>
      </c>
      <c r="N50" s="18" t="s">
        <v>98</v>
      </c>
      <c r="O50" s="18" t="s">
        <v>82</v>
      </c>
      <c r="P50" s="18" t="s">
        <v>83</v>
      </c>
      <c r="Q50" s="18" t="s">
        <v>84</v>
      </c>
      <c r="R50" s="18" t="s">
        <v>85</v>
      </c>
      <c r="S50" s="18" t="s">
        <v>86</v>
      </c>
      <c r="T50" s="18" t="s">
        <v>87</v>
      </c>
      <c r="U50" s="18" t="s">
        <v>88</v>
      </c>
      <c r="V50" s="18" t="s">
        <v>89</v>
      </c>
      <c r="W50" s="18" t="s">
        <v>90</v>
      </c>
      <c r="X50" s="18" t="s">
        <v>91</v>
      </c>
      <c r="Y50" s="18" t="s">
        <v>92</v>
      </c>
      <c r="Z50" s="18" t="s">
        <v>93</v>
      </c>
      <c r="AA50" s="136" t="s">
        <v>94</v>
      </c>
      <c r="AB50" s="137" t="s">
        <v>95</v>
      </c>
    </row>
    <row r="51" spans="11:28">
      <c r="L51" s="170">
        <v>1</v>
      </c>
      <c r="M51" s="186" t="str">
        <f>M38</f>
        <v>Intervention 1</v>
      </c>
      <c r="N51" s="20">
        <v>1</v>
      </c>
      <c r="O51" s="20">
        <v>1</v>
      </c>
      <c r="P51" s="20">
        <v>1</v>
      </c>
      <c r="Q51" s="20">
        <v>1</v>
      </c>
      <c r="R51" s="20">
        <v>1</v>
      </c>
      <c r="S51" s="20">
        <v>1</v>
      </c>
      <c r="T51" s="20">
        <v>1</v>
      </c>
      <c r="U51" s="20">
        <v>1</v>
      </c>
      <c r="V51" s="20">
        <v>1</v>
      </c>
      <c r="W51" s="20">
        <v>1</v>
      </c>
      <c r="X51" s="20">
        <v>1</v>
      </c>
      <c r="Y51" s="20">
        <v>1</v>
      </c>
      <c r="Z51" s="20">
        <v>1</v>
      </c>
      <c r="AA51" s="20">
        <v>1</v>
      </c>
      <c r="AB51" s="20">
        <v>1</v>
      </c>
    </row>
    <row r="52" spans="11:28">
      <c r="L52" s="170">
        <v>2</v>
      </c>
      <c r="M52" s="186" t="str">
        <f t="shared" ref="M52:M60" si="5">M39</f>
        <v>Intervention 2</v>
      </c>
      <c r="N52" s="20">
        <v>1</v>
      </c>
      <c r="O52" s="20">
        <v>1</v>
      </c>
      <c r="P52" s="20">
        <v>1</v>
      </c>
      <c r="Q52" s="20">
        <v>1</v>
      </c>
      <c r="R52" s="20">
        <v>1</v>
      </c>
      <c r="S52" s="20">
        <v>1</v>
      </c>
      <c r="T52" s="20">
        <v>1</v>
      </c>
      <c r="U52" s="20">
        <v>1</v>
      </c>
      <c r="V52" s="20">
        <v>1</v>
      </c>
      <c r="W52" s="20">
        <v>1</v>
      </c>
      <c r="X52" s="20">
        <v>1</v>
      </c>
      <c r="Y52" s="20">
        <v>1</v>
      </c>
      <c r="Z52" s="20">
        <v>1</v>
      </c>
      <c r="AA52" s="20">
        <v>1</v>
      </c>
      <c r="AB52" s="20">
        <v>1</v>
      </c>
    </row>
    <row r="53" spans="11:28">
      <c r="L53" s="170">
        <v>3</v>
      </c>
      <c r="M53" s="186" t="str">
        <f t="shared" si="5"/>
        <v>Intervention 3</v>
      </c>
      <c r="N53" s="20">
        <v>1</v>
      </c>
      <c r="O53" s="20">
        <v>1</v>
      </c>
      <c r="P53" s="20">
        <v>1</v>
      </c>
      <c r="Q53" s="20">
        <v>1</v>
      </c>
      <c r="R53" s="20">
        <v>1</v>
      </c>
      <c r="S53" s="20">
        <v>1</v>
      </c>
      <c r="T53" s="20">
        <v>1</v>
      </c>
      <c r="U53" s="20">
        <v>1</v>
      </c>
      <c r="V53" s="20">
        <v>1</v>
      </c>
      <c r="W53" s="20">
        <v>1</v>
      </c>
      <c r="X53" s="20">
        <v>1</v>
      </c>
      <c r="Y53" s="20">
        <v>1</v>
      </c>
      <c r="Z53" s="20">
        <v>1</v>
      </c>
      <c r="AA53" s="20">
        <v>1</v>
      </c>
      <c r="AB53" s="20">
        <v>1</v>
      </c>
    </row>
    <row r="54" spans="11:28">
      <c r="L54" s="170">
        <v>4</v>
      </c>
      <c r="M54" s="186" t="str">
        <f t="shared" si="5"/>
        <v>Intervention 4</v>
      </c>
      <c r="N54" s="20">
        <v>1</v>
      </c>
      <c r="O54" s="20">
        <v>1</v>
      </c>
      <c r="P54" s="20">
        <v>1</v>
      </c>
      <c r="Q54" s="20">
        <v>1</v>
      </c>
      <c r="R54" s="20">
        <v>1</v>
      </c>
      <c r="S54" s="20">
        <v>1</v>
      </c>
      <c r="T54" s="20">
        <v>1</v>
      </c>
      <c r="U54" s="20">
        <v>1</v>
      </c>
      <c r="V54" s="20">
        <v>1</v>
      </c>
      <c r="W54" s="20">
        <v>1</v>
      </c>
      <c r="X54" s="20">
        <v>1</v>
      </c>
      <c r="Y54" s="20">
        <v>1</v>
      </c>
      <c r="Z54" s="20">
        <v>1</v>
      </c>
      <c r="AA54" s="20">
        <v>1</v>
      </c>
      <c r="AB54" s="20">
        <v>1</v>
      </c>
    </row>
    <row r="55" spans="11:28">
      <c r="L55" s="170">
        <v>5</v>
      </c>
      <c r="M55" s="186" t="str">
        <f t="shared" si="5"/>
        <v>Intervention 5</v>
      </c>
      <c r="N55" s="20">
        <v>1</v>
      </c>
      <c r="O55" s="20">
        <v>1</v>
      </c>
      <c r="P55" s="20">
        <v>1</v>
      </c>
      <c r="Q55" s="20">
        <v>1</v>
      </c>
      <c r="R55" s="20">
        <v>1</v>
      </c>
      <c r="S55" s="20">
        <v>1</v>
      </c>
      <c r="T55" s="20">
        <v>1</v>
      </c>
      <c r="U55" s="20">
        <v>1</v>
      </c>
      <c r="V55" s="20">
        <v>1</v>
      </c>
      <c r="W55" s="20">
        <v>1</v>
      </c>
      <c r="X55" s="20">
        <v>1</v>
      </c>
      <c r="Y55" s="20">
        <v>1</v>
      </c>
      <c r="Z55" s="20">
        <v>1</v>
      </c>
      <c r="AA55" s="20">
        <v>1</v>
      </c>
      <c r="AB55" s="20">
        <v>1</v>
      </c>
    </row>
    <row r="56" spans="11:28">
      <c r="L56" s="170">
        <v>6</v>
      </c>
      <c r="M56" s="186" t="str">
        <f t="shared" si="5"/>
        <v>Intervention 6</v>
      </c>
      <c r="N56" s="20">
        <v>1</v>
      </c>
      <c r="O56" s="20">
        <v>1</v>
      </c>
      <c r="P56" s="20">
        <v>1</v>
      </c>
      <c r="Q56" s="20">
        <v>1</v>
      </c>
      <c r="R56" s="20">
        <v>1</v>
      </c>
      <c r="S56" s="20">
        <v>1</v>
      </c>
      <c r="T56" s="20">
        <v>1</v>
      </c>
      <c r="U56" s="20">
        <v>1</v>
      </c>
      <c r="V56" s="20">
        <v>1</v>
      </c>
      <c r="W56" s="20">
        <v>1</v>
      </c>
      <c r="X56" s="20">
        <v>1</v>
      </c>
      <c r="Y56" s="20">
        <v>1</v>
      </c>
      <c r="Z56" s="20">
        <v>1</v>
      </c>
      <c r="AA56" s="20">
        <v>1</v>
      </c>
      <c r="AB56" s="20">
        <v>1</v>
      </c>
    </row>
    <row r="57" spans="11:28">
      <c r="L57" s="170">
        <v>7</v>
      </c>
      <c r="M57" s="186" t="str">
        <f t="shared" si="5"/>
        <v>Intervention 7</v>
      </c>
      <c r="N57" s="20">
        <v>1</v>
      </c>
      <c r="O57" s="20">
        <v>1</v>
      </c>
      <c r="P57" s="20">
        <v>1</v>
      </c>
      <c r="Q57" s="20">
        <v>1</v>
      </c>
      <c r="R57" s="20">
        <v>1</v>
      </c>
      <c r="S57" s="20">
        <v>1</v>
      </c>
      <c r="T57" s="20">
        <v>1</v>
      </c>
      <c r="U57" s="20">
        <v>1</v>
      </c>
      <c r="V57" s="20">
        <v>1</v>
      </c>
      <c r="W57" s="20">
        <v>1</v>
      </c>
      <c r="X57" s="20">
        <v>1</v>
      </c>
      <c r="Y57" s="20">
        <v>1</v>
      </c>
      <c r="Z57" s="20">
        <v>1</v>
      </c>
      <c r="AA57" s="20">
        <v>1</v>
      </c>
      <c r="AB57" s="20">
        <v>1</v>
      </c>
    </row>
    <row r="58" spans="11:28">
      <c r="L58" s="170">
        <v>8</v>
      </c>
      <c r="M58" s="186" t="str">
        <f t="shared" si="5"/>
        <v>Intervention 8</v>
      </c>
      <c r="N58" s="20">
        <v>1</v>
      </c>
      <c r="O58" s="20">
        <v>1</v>
      </c>
      <c r="P58" s="20">
        <v>1</v>
      </c>
      <c r="Q58" s="20">
        <v>1</v>
      </c>
      <c r="R58" s="20">
        <v>1</v>
      </c>
      <c r="S58" s="20">
        <v>1</v>
      </c>
      <c r="T58" s="20">
        <v>1</v>
      </c>
      <c r="U58" s="20">
        <v>1</v>
      </c>
      <c r="V58" s="20">
        <v>1</v>
      </c>
      <c r="W58" s="20">
        <v>1</v>
      </c>
      <c r="X58" s="20">
        <v>1</v>
      </c>
      <c r="Y58" s="20">
        <v>1</v>
      </c>
      <c r="Z58" s="20">
        <v>1</v>
      </c>
      <c r="AA58" s="20">
        <v>1</v>
      </c>
      <c r="AB58" s="20">
        <v>1</v>
      </c>
    </row>
    <row r="59" spans="11:28">
      <c r="L59" s="170">
        <v>9</v>
      </c>
      <c r="M59" s="186" t="str">
        <f t="shared" si="5"/>
        <v>Intervention 9</v>
      </c>
      <c r="N59" s="20">
        <v>1</v>
      </c>
      <c r="O59" s="20">
        <v>1</v>
      </c>
      <c r="P59" s="20">
        <v>1</v>
      </c>
      <c r="Q59" s="20">
        <v>1</v>
      </c>
      <c r="R59" s="20">
        <v>1</v>
      </c>
      <c r="S59" s="20">
        <v>1</v>
      </c>
      <c r="T59" s="20">
        <v>1</v>
      </c>
      <c r="U59" s="20">
        <v>1</v>
      </c>
      <c r="V59" s="20">
        <v>1</v>
      </c>
      <c r="W59" s="20">
        <v>1</v>
      </c>
      <c r="X59" s="20">
        <v>1</v>
      </c>
      <c r="Y59" s="20">
        <v>1</v>
      </c>
      <c r="Z59" s="20">
        <v>1</v>
      </c>
      <c r="AA59" s="20">
        <v>1</v>
      </c>
      <c r="AB59" s="20">
        <v>1</v>
      </c>
    </row>
    <row r="60" spans="11:28">
      <c r="L60" s="170">
        <v>10</v>
      </c>
      <c r="M60" s="186" t="str">
        <f t="shared" si="5"/>
        <v>Intervention 10</v>
      </c>
      <c r="N60" s="20">
        <v>1</v>
      </c>
      <c r="O60" s="20">
        <v>1</v>
      </c>
      <c r="P60" s="20">
        <v>1</v>
      </c>
      <c r="Q60" s="20">
        <v>1</v>
      </c>
      <c r="R60" s="20">
        <v>1</v>
      </c>
      <c r="S60" s="20">
        <v>1</v>
      </c>
      <c r="T60" s="20">
        <v>1</v>
      </c>
      <c r="U60" s="20">
        <v>1</v>
      </c>
      <c r="V60" s="20">
        <v>1</v>
      </c>
      <c r="W60" s="20">
        <v>1</v>
      </c>
      <c r="X60" s="20">
        <v>1</v>
      </c>
      <c r="Y60" s="20">
        <v>1</v>
      </c>
      <c r="Z60" s="20">
        <v>1</v>
      </c>
      <c r="AA60" s="20">
        <v>1</v>
      </c>
      <c r="AB60" s="20">
        <v>1</v>
      </c>
    </row>
    <row r="62" spans="11:28">
      <c r="Y62" s="143"/>
    </row>
    <row r="63" spans="11:28">
      <c r="K63" s="38" t="s">
        <v>73</v>
      </c>
    </row>
    <row r="64" spans="11:28">
      <c r="N64" s="122"/>
      <c r="O64" s="122"/>
      <c r="P64" s="122"/>
      <c r="Q64" s="122"/>
      <c r="R64" s="122"/>
      <c r="Y64" s="51"/>
    </row>
    <row r="65" spans="11:25">
      <c r="K65" s="2" t="s">
        <v>13</v>
      </c>
      <c r="L65" s="51" t="s">
        <v>25</v>
      </c>
      <c r="M65" s="138" t="s">
        <v>43</v>
      </c>
      <c r="N65" s="18" t="str">
        <f>Simulation!$B$12</f>
        <v>LungCancer</v>
      </c>
      <c r="O65" s="18" t="str">
        <f>Simulation!$B$13</f>
        <v>COPD</v>
      </c>
      <c r="P65" s="18" t="str">
        <f>Simulation!$B$14</f>
        <v>MI</v>
      </c>
      <c r="Q65" s="18" t="str">
        <f>Simulation!$B$15</f>
        <v>Stroke</v>
      </c>
      <c r="R65" s="18" t="str">
        <f>Simulation!$B$16</f>
        <v>OthEvent</v>
      </c>
      <c r="Y65" s="59"/>
    </row>
    <row r="66" spans="11:25">
      <c r="L66" s="170">
        <v>1</v>
      </c>
      <c r="M66" s="186" t="str">
        <f t="shared" ref="M66:M75" si="6">M51</f>
        <v>Intervention 1</v>
      </c>
      <c r="N66" s="20">
        <v>1</v>
      </c>
      <c r="O66" s="20">
        <v>1</v>
      </c>
      <c r="P66" s="20">
        <v>1</v>
      </c>
      <c r="Q66" s="20">
        <v>1</v>
      </c>
      <c r="R66" s="20">
        <v>1</v>
      </c>
      <c r="T66" s="122"/>
      <c r="U66" s="122"/>
      <c r="V66" s="122"/>
      <c r="W66" s="122"/>
      <c r="X66" s="122"/>
      <c r="Y66" s="59"/>
    </row>
    <row r="67" spans="11:25">
      <c r="L67" s="170">
        <v>2</v>
      </c>
      <c r="M67" s="186" t="str">
        <f t="shared" si="6"/>
        <v>Intervention 2</v>
      </c>
      <c r="N67" s="20">
        <v>1</v>
      </c>
      <c r="O67" s="20">
        <v>1</v>
      </c>
      <c r="P67" s="20">
        <v>1</v>
      </c>
      <c r="Q67" s="20">
        <v>1</v>
      </c>
      <c r="R67" s="20">
        <v>1</v>
      </c>
      <c r="Y67" s="59"/>
    </row>
    <row r="68" spans="11:25">
      <c r="L68" s="170">
        <v>3</v>
      </c>
      <c r="M68" s="186" t="str">
        <f t="shared" si="6"/>
        <v>Intervention 3</v>
      </c>
      <c r="N68" s="20">
        <v>1</v>
      </c>
      <c r="O68" s="20">
        <v>1</v>
      </c>
      <c r="P68" s="20">
        <v>1</v>
      </c>
      <c r="Q68" s="20">
        <v>1</v>
      </c>
      <c r="R68" s="20">
        <v>1</v>
      </c>
      <c r="Y68" s="59"/>
    </row>
    <row r="69" spans="11:25">
      <c r="L69" s="170">
        <v>4</v>
      </c>
      <c r="M69" s="186" t="str">
        <f t="shared" si="6"/>
        <v>Intervention 4</v>
      </c>
      <c r="N69" s="20">
        <v>1</v>
      </c>
      <c r="O69" s="20">
        <v>1</v>
      </c>
      <c r="P69" s="20">
        <v>1</v>
      </c>
      <c r="Q69" s="20">
        <v>1</v>
      </c>
      <c r="R69" s="20">
        <v>1</v>
      </c>
      <c r="Y69" s="59"/>
    </row>
    <row r="70" spans="11:25">
      <c r="L70" s="170">
        <v>5</v>
      </c>
      <c r="M70" s="186" t="str">
        <f t="shared" si="6"/>
        <v>Intervention 5</v>
      </c>
      <c r="N70" s="20">
        <v>1</v>
      </c>
      <c r="O70" s="20">
        <v>1</v>
      </c>
      <c r="P70" s="20">
        <v>1</v>
      </c>
      <c r="Q70" s="20">
        <v>1</v>
      </c>
      <c r="R70" s="20">
        <v>1</v>
      </c>
      <c r="Y70" s="59"/>
    </row>
    <row r="71" spans="11:25">
      <c r="L71" s="170">
        <v>6</v>
      </c>
      <c r="M71" s="186" t="str">
        <f t="shared" si="6"/>
        <v>Intervention 6</v>
      </c>
      <c r="N71" s="20">
        <v>1</v>
      </c>
      <c r="O71" s="20">
        <v>1</v>
      </c>
      <c r="P71" s="20">
        <v>1</v>
      </c>
      <c r="Q71" s="20">
        <v>1</v>
      </c>
      <c r="R71" s="20">
        <v>1</v>
      </c>
      <c r="Y71" s="59"/>
    </row>
    <row r="72" spans="11:25">
      <c r="L72" s="170">
        <v>7</v>
      </c>
      <c r="M72" s="186" t="str">
        <f t="shared" si="6"/>
        <v>Intervention 7</v>
      </c>
      <c r="N72" s="20">
        <v>1</v>
      </c>
      <c r="O72" s="20">
        <v>1</v>
      </c>
      <c r="P72" s="20">
        <v>1</v>
      </c>
      <c r="Q72" s="20">
        <v>1</v>
      </c>
      <c r="R72" s="20">
        <v>1</v>
      </c>
      <c r="Y72" s="59"/>
    </row>
    <row r="73" spans="11:25">
      <c r="L73" s="170">
        <v>8</v>
      </c>
      <c r="M73" s="186" t="str">
        <f t="shared" si="6"/>
        <v>Intervention 8</v>
      </c>
      <c r="N73" s="20">
        <v>1</v>
      </c>
      <c r="O73" s="20">
        <v>1</v>
      </c>
      <c r="P73" s="20">
        <v>1</v>
      </c>
      <c r="Q73" s="20">
        <v>1</v>
      </c>
      <c r="R73" s="20">
        <v>1</v>
      </c>
      <c r="Y73" s="59"/>
    </row>
    <row r="74" spans="11:25">
      <c r="L74" s="170">
        <v>9</v>
      </c>
      <c r="M74" s="186" t="str">
        <f t="shared" si="6"/>
        <v>Intervention 9</v>
      </c>
      <c r="N74" s="20">
        <v>1</v>
      </c>
      <c r="O74" s="20">
        <v>1</v>
      </c>
      <c r="P74" s="20">
        <v>1</v>
      </c>
      <c r="Q74" s="20">
        <v>1</v>
      </c>
      <c r="R74" s="20">
        <v>1</v>
      </c>
      <c r="Y74" s="59"/>
    </row>
    <row r="75" spans="11:25">
      <c r="L75" s="170">
        <v>10</v>
      </c>
      <c r="M75" s="186" t="str">
        <f t="shared" si="6"/>
        <v>Intervention 10</v>
      </c>
      <c r="N75" s="20">
        <v>1</v>
      </c>
      <c r="O75" s="20">
        <v>1</v>
      </c>
      <c r="P75" s="20">
        <v>1</v>
      </c>
      <c r="Q75" s="20">
        <v>1</v>
      </c>
      <c r="R75" s="20">
        <v>1</v>
      </c>
      <c r="Y75" s="51"/>
    </row>
    <row r="76" spans="11:25">
      <c r="Y76" s="51"/>
    </row>
    <row r="77" spans="11:25">
      <c r="N77" s="2"/>
      <c r="O77" s="122"/>
      <c r="P77" s="122"/>
      <c r="Q77" s="122"/>
      <c r="R77" s="122"/>
      <c r="Y77" s="51"/>
    </row>
    <row r="78" spans="11:25">
      <c r="K78" s="2" t="s">
        <v>12</v>
      </c>
      <c r="L78" s="51" t="s">
        <v>25</v>
      </c>
      <c r="M78" s="138" t="s">
        <v>43</v>
      </c>
      <c r="N78" s="18" t="str">
        <f>Simulation!$B$12</f>
        <v>LungCancer</v>
      </c>
      <c r="O78" s="18" t="str">
        <f>Simulation!$B$13</f>
        <v>COPD</v>
      </c>
      <c r="P78" s="18" t="str">
        <f>Simulation!$B$14</f>
        <v>MI</v>
      </c>
      <c r="Q78" s="18" t="str">
        <f>Simulation!$B$15</f>
        <v>Stroke</v>
      </c>
      <c r="R78" s="18" t="str">
        <f>Simulation!$B$16</f>
        <v>OthEvent</v>
      </c>
      <c r="Y78" s="59"/>
    </row>
    <row r="79" spans="11:25">
      <c r="L79" s="170">
        <v>1</v>
      </c>
      <c r="M79" s="186" t="str">
        <f>M66</f>
        <v>Intervention 1</v>
      </c>
      <c r="N79" s="20">
        <v>1</v>
      </c>
      <c r="O79" s="20">
        <v>1</v>
      </c>
      <c r="P79" s="20">
        <v>1</v>
      </c>
      <c r="Q79" s="20">
        <v>1</v>
      </c>
      <c r="R79" s="20">
        <v>1</v>
      </c>
      <c r="Y79" s="59"/>
    </row>
    <row r="80" spans="11:25">
      <c r="L80" s="170">
        <v>2</v>
      </c>
      <c r="M80" s="186" t="str">
        <f t="shared" ref="M80:M88" si="7">M67</f>
        <v>Intervention 2</v>
      </c>
      <c r="N80" s="20">
        <v>1</v>
      </c>
      <c r="O80" s="20">
        <v>1</v>
      </c>
      <c r="P80" s="20">
        <v>1</v>
      </c>
      <c r="Q80" s="20">
        <v>1</v>
      </c>
      <c r="R80" s="20">
        <v>1</v>
      </c>
      <c r="Y80" s="59"/>
    </row>
    <row r="81" spans="12:25">
      <c r="L81" s="170">
        <v>3</v>
      </c>
      <c r="M81" s="186" t="str">
        <f t="shared" si="7"/>
        <v>Intervention 3</v>
      </c>
      <c r="N81" s="20">
        <v>1</v>
      </c>
      <c r="O81" s="20">
        <v>1</v>
      </c>
      <c r="P81" s="20">
        <v>1</v>
      </c>
      <c r="Q81" s="20">
        <v>1</v>
      </c>
      <c r="R81" s="20">
        <v>1</v>
      </c>
      <c r="Y81" s="59"/>
    </row>
    <row r="82" spans="12:25">
      <c r="L82" s="170">
        <v>4</v>
      </c>
      <c r="M82" s="186" t="str">
        <f t="shared" si="7"/>
        <v>Intervention 4</v>
      </c>
      <c r="N82" s="20">
        <v>1</v>
      </c>
      <c r="O82" s="20">
        <v>1</v>
      </c>
      <c r="P82" s="20">
        <v>1</v>
      </c>
      <c r="Q82" s="20">
        <v>1</v>
      </c>
      <c r="R82" s="20">
        <v>1</v>
      </c>
      <c r="Y82" s="59"/>
    </row>
    <row r="83" spans="12:25">
      <c r="L83" s="170">
        <v>5</v>
      </c>
      <c r="M83" s="186" t="str">
        <f t="shared" si="7"/>
        <v>Intervention 5</v>
      </c>
      <c r="N83" s="20">
        <v>1</v>
      </c>
      <c r="O83" s="20">
        <v>1</v>
      </c>
      <c r="P83" s="20">
        <v>1</v>
      </c>
      <c r="Q83" s="20">
        <v>1</v>
      </c>
      <c r="R83" s="20">
        <v>1</v>
      </c>
      <c r="Y83" s="59"/>
    </row>
    <row r="84" spans="12:25">
      <c r="L84" s="170">
        <v>6</v>
      </c>
      <c r="M84" s="186" t="str">
        <f t="shared" si="7"/>
        <v>Intervention 6</v>
      </c>
      <c r="N84" s="20">
        <v>1</v>
      </c>
      <c r="O84" s="20">
        <v>1</v>
      </c>
      <c r="P84" s="20">
        <v>1</v>
      </c>
      <c r="Q84" s="20">
        <v>1</v>
      </c>
      <c r="R84" s="20">
        <v>1</v>
      </c>
      <c r="Y84" s="59"/>
    </row>
    <row r="85" spans="12:25">
      <c r="L85" s="170">
        <v>7</v>
      </c>
      <c r="M85" s="186" t="str">
        <f t="shared" si="7"/>
        <v>Intervention 7</v>
      </c>
      <c r="N85" s="20">
        <v>1</v>
      </c>
      <c r="O85" s="20">
        <v>1</v>
      </c>
      <c r="P85" s="20">
        <v>1</v>
      </c>
      <c r="Q85" s="20">
        <v>1</v>
      </c>
      <c r="R85" s="20">
        <v>1</v>
      </c>
      <c r="Y85" s="59"/>
    </row>
    <row r="86" spans="12:25">
      <c r="L86" s="170">
        <v>8</v>
      </c>
      <c r="M86" s="186" t="str">
        <f t="shared" si="7"/>
        <v>Intervention 8</v>
      </c>
      <c r="N86" s="20">
        <v>1</v>
      </c>
      <c r="O86" s="20">
        <v>1</v>
      </c>
      <c r="P86" s="20">
        <v>1</v>
      </c>
      <c r="Q86" s="20">
        <v>1</v>
      </c>
      <c r="R86" s="20">
        <v>1</v>
      </c>
      <c r="Y86" s="59"/>
    </row>
    <row r="87" spans="12:25">
      <c r="L87" s="170">
        <v>9</v>
      </c>
      <c r="M87" s="186" t="str">
        <f t="shared" si="7"/>
        <v>Intervention 9</v>
      </c>
      <c r="N87" s="20">
        <v>1</v>
      </c>
      <c r="O87" s="20">
        <v>1</v>
      </c>
      <c r="P87" s="20">
        <v>1</v>
      </c>
      <c r="Q87" s="20">
        <v>1</v>
      </c>
      <c r="R87" s="20">
        <v>1</v>
      </c>
      <c r="Y87" s="59"/>
    </row>
    <row r="88" spans="12:25">
      <c r="L88" s="170">
        <v>10</v>
      </c>
      <c r="M88" s="186" t="str">
        <f t="shared" si="7"/>
        <v>Intervention 10</v>
      </c>
      <c r="N88" s="20">
        <v>1</v>
      </c>
      <c r="O88" s="20">
        <v>1</v>
      </c>
      <c r="P88" s="20">
        <v>1</v>
      </c>
      <c r="Q88" s="20">
        <v>1</v>
      </c>
      <c r="R88" s="20">
        <v>1</v>
      </c>
    </row>
  </sheetData>
  <dataValidations count="1">
    <dataValidation type="list" allowBlank="1" showInputMessage="1" showErrorMessage="1" sqref="AH22:AH31 F21:I30">
      <formula1>"0,1"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 enableFormatConditionsCalculation="0"/>
  <dimension ref="A1:W46"/>
  <sheetViews>
    <sheetView workbookViewId="0">
      <selection activeCell="L22" sqref="L22"/>
    </sheetView>
  </sheetViews>
  <sheetFormatPr defaultColWidth="9.140625" defaultRowHeight="12.75"/>
  <cols>
    <col min="1" max="1" width="6.140625" style="2" customWidth="1"/>
    <col min="2" max="2" width="13.42578125" style="2" customWidth="1"/>
    <col min="3" max="3" width="8.42578125" style="2" customWidth="1"/>
    <col min="4" max="4" width="8.140625" style="2" customWidth="1"/>
    <col min="5" max="5" width="10.42578125" style="2" customWidth="1"/>
    <col min="6" max="6" width="3" style="190" customWidth="1"/>
    <col min="7" max="7" width="9.140625" style="2"/>
    <col min="8" max="8" width="14.7109375" style="2" bestFit="1" customWidth="1"/>
    <col min="9" max="9" width="12.140625" style="2" customWidth="1"/>
    <col min="10" max="10" width="10.42578125" style="2" customWidth="1"/>
    <col min="11" max="11" width="9.140625" style="2" customWidth="1"/>
    <col min="12" max="12" width="9.28515625" style="2" customWidth="1"/>
    <col min="13" max="13" width="18.7109375" style="2" customWidth="1"/>
    <col min="14" max="16384" width="9.140625" style="2"/>
  </cols>
  <sheetData>
    <row r="1" spans="1:23" s="13" customFormat="1" ht="20.25">
      <c r="A1" s="13" t="s">
        <v>8</v>
      </c>
      <c r="F1" s="189"/>
    </row>
    <row r="3" spans="1:23">
      <c r="A3" s="12" t="s">
        <v>59</v>
      </c>
      <c r="G3" s="12" t="s">
        <v>106</v>
      </c>
      <c r="Q3" s="178"/>
      <c r="R3" s="178"/>
      <c r="S3" s="178"/>
      <c r="T3" s="178"/>
      <c r="U3" s="179"/>
    </row>
    <row r="4" spans="1:23">
      <c r="C4" s="2" t="s">
        <v>355</v>
      </c>
      <c r="D4" s="2" t="s">
        <v>356</v>
      </c>
    </row>
    <row r="5" spans="1:23">
      <c r="B5" s="2" t="str">
        <f>Simulation!B12</f>
        <v>LungCancer</v>
      </c>
      <c r="C5" s="32">
        <v>20</v>
      </c>
      <c r="D5" s="32">
        <v>1</v>
      </c>
      <c r="H5" s="177" t="s">
        <v>364</v>
      </c>
      <c r="I5" s="178"/>
      <c r="J5" s="178"/>
      <c r="K5" s="144">
        <v>60</v>
      </c>
    </row>
    <row r="6" spans="1:23">
      <c r="B6" s="2" t="str">
        <f>Simulation!B13</f>
        <v>COPD</v>
      </c>
      <c r="C6" s="32">
        <v>20</v>
      </c>
      <c r="D6" s="32">
        <v>1</v>
      </c>
    </row>
    <row r="7" spans="1:23">
      <c r="B7" s="2" t="str">
        <f>Simulation!B14</f>
        <v>MI</v>
      </c>
      <c r="C7" s="32">
        <v>20</v>
      </c>
      <c r="D7" s="32">
        <v>1</v>
      </c>
      <c r="G7" s="2" t="s">
        <v>13</v>
      </c>
      <c r="H7" s="2" t="s">
        <v>22</v>
      </c>
      <c r="I7" s="2" t="s">
        <v>98</v>
      </c>
      <c r="J7" s="2" t="s">
        <v>82</v>
      </c>
      <c r="K7" s="2" t="s">
        <v>83</v>
      </c>
      <c r="L7" s="2" t="s">
        <v>84</v>
      </c>
      <c r="M7" s="2" t="s">
        <v>85</v>
      </c>
      <c r="N7" s="2" t="s">
        <v>86</v>
      </c>
      <c r="O7" s="2" t="s">
        <v>87</v>
      </c>
      <c r="P7" s="2" t="s">
        <v>88</v>
      </c>
      <c r="Q7" s="2" t="s">
        <v>89</v>
      </c>
      <c r="R7" s="2" t="s">
        <v>90</v>
      </c>
      <c r="S7" s="2" t="s">
        <v>91</v>
      </c>
      <c r="T7" s="2" t="s">
        <v>92</v>
      </c>
      <c r="U7" s="2" t="s">
        <v>93</v>
      </c>
      <c r="V7" s="57" t="s">
        <v>94</v>
      </c>
      <c r="W7" s="44" t="s">
        <v>95</v>
      </c>
    </row>
    <row r="8" spans="1:23">
      <c r="B8" s="2" t="str">
        <f>Simulation!B15</f>
        <v>Stroke</v>
      </c>
      <c r="C8" s="32">
        <v>20</v>
      </c>
      <c r="D8" s="32">
        <v>1</v>
      </c>
      <c r="H8" s="2" t="s">
        <v>57</v>
      </c>
      <c r="I8" s="32">
        <v>5</v>
      </c>
      <c r="J8" s="32">
        <v>5</v>
      </c>
      <c r="K8" s="32">
        <v>5</v>
      </c>
      <c r="L8" s="32">
        <v>5</v>
      </c>
      <c r="M8" s="32">
        <v>5</v>
      </c>
      <c r="N8" s="32">
        <v>5</v>
      </c>
      <c r="O8" s="32">
        <v>5</v>
      </c>
      <c r="P8" s="32">
        <v>5</v>
      </c>
      <c r="Q8" s="32">
        <v>5</v>
      </c>
      <c r="R8" s="32">
        <v>5</v>
      </c>
      <c r="S8" s="32">
        <v>5</v>
      </c>
      <c r="T8" s="32">
        <v>5</v>
      </c>
      <c r="U8" s="32">
        <v>5</v>
      </c>
      <c r="V8" s="32">
        <v>5</v>
      </c>
      <c r="W8" s="32">
        <v>5</v>
      </c>
    </row>
    <row r="9" spans="1:23">
      <c r="B9" s="2" t="str">
        <f>Simulation!B16</f>
        <v>OthEvent</v>
      </c>
      <c r="C9" s="32">
        <v>20</v>
      </c>
      <c r="D9" s="32">
        <v>1</v>
      </c>
      <c r="H9" s="2" t="s">
        <v>363</v>
      </c>
      <c r="I9" s="32">
        <v>5</v>
      </c>
      <c r="J9" s="32">
        <v>5</v>
      </c>
      <c r="K9" s="32">
        <v>5</v>
      </c>
      <c r="L9" s="32">
        <v>5</v>
      </c>
      <c r="M9" s="32">
        <v>5</v>
      </c>
      <c r="N9" s="32">
        <v>5</v>
      </c>
      <c r="O9" s="32">
        <v>5</v>
      </c>
      <c r="P9" s="32">
        <v>5</v>
      </c>
      <c r="Q9" s="32">
        <v>5</v>
      </c>
      <c r="R9" s="32">
        <v>5</v>
      </c>
      <c r="S9" s="32">
        <v>5</v>
      </c>
      <c r="T9" s="32">
        <v>5</v>
      </c>
      <c r="U9" s="32">
        <v>5</v>
      </c>
      <c r="V9" s="32">
        <v>5</v>
      </c>
      <c r="W9" s="32">
        <v>5</v>
      </c>
    </row>
    <row r="10" spans="1:23">
      <c r="H10" s="2" t="s">
        <v>56</v>
      </c>
      <c r="I10" s="32">
        <v>5</v>
      </c>
      <c r="J10" s="32">
        <v>5</v>
      </c>
      <c r="K10" s="32">
        <v>5</v>
      </c>
      <c r="L10" s="32">
        <v>5</v>
      </c>
      <c r="M10" s="32">
        <v>5</v>
      </c>
      <c r="N10" s="32">
        <v>5</v>
      </c>
      <c r="O10" s="32">
        <v>5</v>
      </c>
      <c r="P10" s="32">
        <v>5</v>
      </c>
      <c r="Q10" s="32">
        <v>5</v>
      </c>
      <c r="R10" s="32">
        <v>5</v>
      </c>
      <c r="S10" s="32">
        <v>5</v>
      </c>
      <c r="T10" s="32">
        <v>5</v>
      </c>
      <c r="U10" s="32">
        <v>5</v>
      </c>
      <c r="V10" s="32">
        <v>5</v>
      </c>
      <c r="W10" s="32">
        <v>5</v>
      </c>
    </row>
    <row r="12" spans="1:23">
      <c r="A12" s="12" t="s">
        <v>60</v>
      </c>
    </row>
    <row r="13" spans="1:23">
      <c r="G13" s="2" t="s">
        <v>12</v>
      </c>
      <c r="H13" s="2" t="s">
        <v>22</v>
      </c>
      <c r="I13" s="2" t="s">
        <v>98</v>
      </c>
      <c r="J13" s="2" t="s">
        <v>82</v>
      </c>
      <c r="K13" s="2" t="s">
        <v>83</v>
      </c>
      <c r="L13" s="2" t="s">
        <v>84</v>
      </c>
      <c r="M13" s="2" t="s">
        <v>85</v>
      </c>
      <c r="N13" s="2" t="s">
        <v>86</v>
      </c>
      <c r="O13" s="2" t="s">
        <v>87</v>
      </c>
      <c r="P13" s="2" t="s">
        <v>88</v>
      </c>
      <c r="Q13" s="2" t="s">
        <v>89</v>
      </c>
      <c r="R13" s="2" t="s">
        <v>90</v>
      </c>
      <c r="S13" s="2" t="s">
        <v>91</v>
      </c>
      <c r="T13" s="2" t="s">
        <v>92</v>
      </c>
      <c r="U13" s="2" t="s">
        <v>93</v>
      </c>
      <c r="V13" s="57" t="s">
        <v>94</v>
      </c>
      <c r="W13" s="44" t="s">
        <v>95</v>
      </c>
    </row>
    <row r="14" spans="1:23">
      <c r="B14" s="2" t="str">
        <f>B5</f>
        <v>LungCancer</v>
      </c>
      <c r="C14" s="32">
        <v>20</v>
      </c>
      <c r="H14" s="2" t="s">
        <v>57</v>
      </c>
      <c r="I14" s="32">
        <v>5</v>
      </c>
      <c r="J14" s="32">
        <v>5</v>
      </c>
      <c r="K14" s="32">
        <v>5</v>
      </c>
      <c r="L14" s="32">
        <v>5</v>
      </c>
      <c r="M14" s="32">
        <v>5</v>
      </c>
      <c r="N14" s="32">
        <v>5</v>
      </c>
      <c r="O14" s="32">
        <v>5</v>
      </c>
      <c r="P14" s="32">
        <v>5</v>
      </c>
      <c r="Q14" s="32">
        <v>5</v>
      </c>
      <c r="R14" s="32">
        <v>5</v>
      </c>
      <c r="S14" s="32">
        <v>5</v>
      </c>
      <c r="T14" s="32">
        <v>5</v>
      </c>
      <c r="U14" s="32">
        <v>5</v>
      </c>
      <c r="V14" s="32">
        <v>5</v>
      </c>
      <c r="W14" s="32">
        <v>5</v>
      </c>
    </row>
    <row r="15" spans="1:23">
      <c r="B15" s="2" t="str">
        <f>B6</f>
        <v>COPD</v>
      </c>
      <c r="C15" s="32">
        <v>20</v>
      </c>
      <c r="H15" s="2" t="s">
        <v>363</v>
      </c>
      <c r="I15" s="32">
        <v>5</v>
      </c>
      <c r="J15" s="32">
        <v>5</v>
      </c>
      <c r="K15" s="32">
        <v>5</v>
      </c>
      <c r="L15" s="32">
        <v>5</v>
      </c>
      <c r="M15" s="32">
        <v>5</v>
      </c>
      <c r="N15" s="32">
        <v>5</v>
      </c>
      <c r="O15" s="32">
        <v>5</v>
      </c>
      <c r="P15" s="32">
        <v>5</v>
      </c>
      <c r="Q15" s="32">
        <v>5</v>
      </c>
      <c r="R15" s="32">
        <v>5</v>
      </c>
      <c r="S15" s="32">
        <v>5</v>
      </c>
      <c r="T15" s="32">
        <v>5</v>
      </c>
      <c r="U15" s="32">
        <v>5</v>
      </c>
      <c r="V15" s="32">
        <v>5</v>
      </c>
      <c r="W15" s="32">
        <v>5</v>
      </c>
    </row>
    <row r="16" spans="1:23">
      <c r="B16" s="2" t="str">
        <f>B7</f>
        <v>MI</v>
      </c>
      <c r="C16" s="32">
        <v>20</v>
      </c>
      <c r="H16" s="2" t="s">
        <v>56</v>
      </c>
      <c r="I16" s="32">
        <v>5</v>
      </c>
      <c r="J16" s="32">
        <v>5</v>
      </c>
      <c r="K16" s="32">
        <v>5</v>
      </c>
      <c r="L16" s="32">
        <v>5</v>
      </c>
      <c r="M16" s="32">
        <v>5</v>
      </c>
      <c r="N16" s="32">
        <v>5</v>
      </c>
      <c r="O16" s="32">
        <v>5</v>
      </c>
      <c r="P16" s="32">
        <v>5</v>
      </c>
      <c r="Q16" s="32">
        <v>5</v>
      </c>
      <c r="R16" s="32">
        <v>5</v>
      </c>
      <c r="S16" s="32">
        <v>5</v>
      </c>
      <c r="T16" s="32">
        <v>5</v>
      </c>
      <c r="U16" s="32">
        <v>5</v>
      </c>
      <c r="V16" s="32">
        <v>5</v>
      </c>
      <c r="W16" s="32">
        <v>5</v>
      </c>
    </row>
    <row r="17" spans="1:13">
      <c r="B17" s="2" t="str">
        <f>B8</f>
        <v>Stroke</v>
      </c>
      <c r="C17" s="32">
        <v>20</v>
      </c>
    </row>
    <row r="18" spans="1:13">
      <c r="B18" s="2" t="str">
        <f>B9</f>
        <v>OthEvent</v>
      </c>
      <c r="C18" s="32">
        <v>20</v>
      </c>
    </row>
    <row r="19" spans="1:13">
      <c r="G19" s="12" t="s">
        <v>357</v>
      </c>
    </row>
    <row r="21" spans="1:13">
      <c r="A21" s="12" t="s">
        <v>62</v>
      </c>
      <c r="I21" s="2" t="s">
        <v>358</v>
      </c>
      <c r="J21" s="106" t="s">
        <v>359</v>
      </c>
      <c r="K21" s="106" t="s">
        <v>360</v>
      </c>
      <c r="L21" s="106" t="s">
        <v>362</v>
      </c>
      <c r="M21" s="2" t="s">
        <v>361</v>
      </c>
    </row>
    <row r="22" spans="1:13">
      <c r="C22" s="2" t="s">
        <v>355</v>
      </c>
      <c r="D22" s="2" t="s">
        <v>356</v>
      </c>
      <c r="H22" s="2" t="str">
        <f>B14</f>
        <v>LungCancer</v>
      </c>
      <c r="I22" s="32">
        <v>20</v>
      </c>
      <c r="J22" s="32">
        <v>20</v>
      </c>
      <c r="K22" s="32">
        <v>20</v>
      </c>
      <c r="L22" s="32">
        <v>20</v>
      </c>
      <c r="M22" s="32">
        <v>20</v>
      </c>
    </row>
    <row r="23" spans="1:13">
      <c r="B23" s="2" t="str">
        <f>Prophs!C6</f>
        <v>User Proph 1</v>
      </c>
      <c r="C23" s="32">
        <v>20</v>
      </c>
      <c r="D23" s="32">
        <v>1</v>
      </c>
      <c r="H23" s="2" t="str">
        <f>B15</f>
        <v>COPD</v>
      </c>
      <c r="I23" s="32">
        <v>20</v>
      </c>
      <c r="J23" s="32">
        <v>20</v>
      </c>
      <c r="K23" s="32">
        <v>20</v>
      </c>
      <c r="L23" s="32">
        <v>20</v>
      </c>
      <c r="M23" s="32">
        <v>20</v>
      </c>
    </row>
    <row r="24" spans="1:13">
      <c r="B24" s="2" t="str">
        <f>Prophs!C7</f>
        <v>User Proph 2</v>
      </c>
      <c r="C24" s="32">
        <v>20</v>
      </c>
      <c r="D24" s="32">
        <v>1</v>
      </c>
      <c r="H24" s="2" t="str">
        <f>B16</f>
        <v>MI</v>
      </c>
      <c r="I24" s="32">
        <v>20</v>
      </c>
      <c r="J24" s="32">
        <v>20</v>
      </c>
      <c r="K24" s="32">
        <v>20</v>
      </c>
      <c r="L24" s="32">
        <v>20</v>
      </c>
      <c r="M24" s="32">
        <v>20</v>
      </c>
    </row>
    <row r="25" spans="1:13">
      <c r="B25" s="2" t="str">
        <f>Prophs!C8</f>
        <v>User Proph 3</v>
      </c>
      <c r="C25" s="32">
        <v>20</v>
      </c>
      <c r="D25" s="32">
        <v>1</v>
      </c>
      <c r="H25" s="2" t="str">
        <f>B17</f>
        <v>Stroke</v>
      </c>
      <c r="I25" s="32">
        <v>20</v>
      </c>
      <c r="J25" s="32">
        <v>20</v>
      </c>
      <c r="K25" s="32">
        <v>20</v>
      </c>
      <c r="L25" s="32">
        <v>20</v>
      </c>
      <c r="M25" s="32">
        <v>20</v>
      </c>
    </row>
    <row r="26" spans="1:13">
      <c r="B26" s="2" t="str">
        <f>Prophs!C9</f>
        <v>User Proph 4</v>
      </c>
      <c r="C26" s="32">
        <v>20</v>
      </c>
      <c r="D26" s="32">
        <v>1</v>
      </c>
      <c r="H26" s="2" t="str">
        <f>B18</f>
        <v>OthEvent</v>
      </c>
      <c r="I26" s="32">
        <v>20</v>
      </c>
      <c r="J26" s="32">
        <v>20</v>
      </c>
      <c r="K26" s="32">
        <v>20</v>
      </c>
      <c r="L26" s="32">
        <v>20</v>
      </c>
      <c r="M26" s="32">
        <v>20</v>
      </c>
    </row>
    <row r="27" spans="1:13">
      <c r="B27" s="2" t="str">
        <f>Prophs!C10</f>
        <v>User Proph 5</v>
      </c>
      <c r="C27" s="32">
        <v>20</v>
      </c>
      <c r="D27" s="32">
        <v>1</v>
      </c>
    </row>
    <row r="28" spans="1:13">
      <c r="B28" s="2" t="str">
        <f>Prophs!C11</f>
        <v>User Proph 6</v>
      </c>
      <c r="C28" s="32">
        <v>20</v>
      </c>
      <c r="D28" s="32">
        <v>1</v>
      </c>
    </row>
    <row r="29" spans="1:13">
      <c r="B29" s="2" t="str">
        <f>Prophs!C12</f>
        <v>User Proph 7</v>
      </c>
      <c r="C29" s="32">
        <v>20</v>
      </c>
      <c r="D29" s="32">
        <v>1</v>
      </c>
    </row>
    <row r="30" spans="1:13">
      <c r="B30" s="2" t="str">
        <f>Prophs!C13</f>
        <v>User Proph 8</v>
      </c>
      <c r="C30" s="32">
        <v>20</v>
      </c>
      <c r="D30" s="32">
        <v>1</v>
      </c>
    </row>
    <row r="31" spans="1:13">
      <c r="B31" s="2" t="str">
        <f>Prophs!C14</f>
        <v>User Proph 9</v>
      </c>
      <c r="C31" s="32">
        <v>20</v>
      </c>
      <c r="D31" s="32">
        <v>1</v>
      </c>
    </row>
    <row r="32" spans="1:13">
      <c r="B32" s="2" t="str">
        <f>Prophs!C15</f>
        <v>User Proph 10</v>
      </c>
      <c r="C32" s="32">
        <v>20</v>
      </c>
      <c r="D32" s="32">
        <v>1</v>
      </c>
    </row>
    <row r="35" spans="1:4">
      <c r="A35" s="12" t="s">
        <v>63</v>
      </c>
    </row>
    <row r="36" spans="1:4">
      <c r="C36" s="2" t="s">
        <v>355</v>
      </c>
      <c r="D36" s="2" t="s">
        <v>356</v>
      </c>
    </row>
    <row r="37" spans="1:4">
      <c r="B37" s="2" t="str">
        <f>Intervention!C6</f>
        <v>Intervention 1</v>
      </c>
      <c r="C37" s="32">
        <v>20</v>
      </c>
      <c r="D37" s="32">
        <v>1</v>
      </c>
    </row>
    <row r="38" spans="1:4">
      <c r="B38" s="2" t="str">
        <f>Intervention!C7</f>
        <v>Intervention 2</v>
      </c>
      <c r="C38" s="32">
        <v>20</v>
      </c>
      <c r="D38" s="32">
        <v>1</v>
      </c>
    </row>
    <row r="39" spans="1:4">
      <c r="B39" s="2" t="str">
        <f>Intervention!C8</f>
        <v>Intervention 3</v>
      </c>
      <c r="C39" s="32">
        <v>20</v>
      </c>
      <c r="D39" s="32">
        <v>1</v>
      </c>
    </row>
    <row r="40" spans="1:4">
      <c r="B40" s="2" t="str">
        <f>Intervention!C9</f>
        <v>Intervention 4</v>
      </c>
      <c r="C40" s="32">
        <v>20</v>
      </c>
      <c r="D40" s="32">
        <v>1</v>
      </c>
    </row>
    <row r="41" spans="1:4">
      <c r="B41" s="2" t="str">
        <f>Intervention!C10</f>
        <v>Intervention 5</v>
      </c>
      <c r="C41" s="32">
        <v>20</v>
      </c>
      <c r="D41" s="32">
        <v>1</v>
      </c>
    </row>
    <row r="42" spans="1:4">
      <c r="B42" s="2" t="str">
        <f>Intervention!C11</f>
        <v>Intervention 6</v>
      </c>
      <c r="C42" s="32">
        <v>20</v>
      </c>
      <c r="D42" s="32">
        <v>1</v>
      </c>
    </row>
    <row r="43" spans="1:4">
      <c r="B43" s="2" t="str">
        <f>Intervention!C12</f>
        <v>Intervention 7</v>
      </c>
      <c r="C43" s="32">
        <v>20</v>
      </c>
      <c r="D43" s="32">
        <v>1</v>
      </c>
    </row>
    <row r="44" spans="1:4">
      <c r="B44" s="2" t="str">
        <f>Intervention!C13</f>
        <v>Intervention 8</v>
      </c>
      <c r="C44" s="32">
        <v>20</v>
      </c>
      <c r="D44" s="32">
        <v>1</v>
      </c>
    </row>
    <row r="45" spans="1:4">
      <c r="B45" s="2" t="str">
        <f>Intervention!C14</f>
        <v>Intervention 9</v>
      </c>
      <c r="C45" s="32">
        <v>20</v>
      </c>
      <c r="D45" s="32">
        <v>1</v>
      </c>
    </row>
    <row r="46" spans="1:4">
      <c r="B46" s="2" t="str">
        <f>Intervention!C15</f>
        <v>Intervention 10</v>
      </c>
      <c r="C46" s="32">
        <v>20</v>
      </c>
      <c r="D46" s="32">
        <v>1</v>
      </c>
    </row>
  </sheetData>
  <dataValidations count="1">
    <dataValidation showInputMessage="1" showErrorMessage="1" sqref="K5"/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 enableFormatConditionsCalculation="0"/>
  <dimension ref="A1:S30"/>
  <sheetViews>
    <sheetView topLeftCell="C1" workbookViewId="0">
      <selection activeCell="R31" sqref="R31"/>
    </sheetView>
  </sheetViews>
  <sheetFormatPr defaultColWidth="9.140625" defaultRowHeight="12.75"/>
  <cols>
    <col min="1" max="1" width="9.140625" style="2"/>
    <col min="2" max="2" width="10.85546875" style="2" customWidth="1"/>
    <col min="3" max="3" width="9.140625" style="2"/>
    <col min="4" max="4" width="11" style="2" customWidth="1"/>
    <col min="5" max="6" width="12.7109375" style="2" customWidth="1"/>
    <col min="7" max="7" width="3.28515625" style="192" customWidth="1"/>
    <col min="8" max="8" width="9.7109375" style="2" customWidth="1"/>
    <col min="9" max="9" width="11.140625" style="2" customWidth="1"/>
    <col min="10" max="10" width="11.42578125" style="2" customWidth="1"/>
    <col min="11" max="11" width="17.42578125" style="2" customWidth="1"/>
    <col min="12" max="12" width="10.85546875" style="2" customWidth="1"/>
    <col min="13" max="13" width="12.85546875" style="2" customWidth="1"/>
    <col min="14" max="14" width="12" style="2" bestFit="1" customWidth="1"/>
    <col min="15" max="15" width="13.140625" style="2" bestFit="1" customWidth="1"/>
    <col min="16" max="16" width="3.42578125" style="192" customWidth="1"/>
    <col min="17" max="17" width="9.140625" style="2"/>
    <col min="18" max="18" width="13.28515625" style="2" customWidth="1"/>
    <col min="19" max="19" width="9.140625" style="2"/>
    <col min="20" max="20" width="10.42578125" style="2" customWidth="1"/>
    <col min="21" max="16384" width="9.140625" style="2"/>
  </cols>
  <sheetData>
    <row r="1" spans="1:19" s="14" customFormat="1" ht="20.25">
      <c r="A1" s="13" t="s">
        <v>64</v>
      </c>
      <c r="G1" s="191"/>
      <c r="H1" s="13" t="s">
        <v>366</v>
      </c>
      <c r="P1" s="191"/>
      <c r="Q1" s="13" t="s">
        <v>376</v>
      </c>
    </row>
    <row r="3" spans="1:19">
      <c r="A3" s="12" t="s">
        <v>365</v>
      </c>
      <c r="H3" s="12" t="s">
        <v>372</v>
      </c>
      <c r="Q3" s="12" t="s">
        <v>68</v>
      </c>
    </row>
    <row r="5" spans="1:19">
      <c r="B5" s="8">
        <v>1</v>
      </c>
      <c r="C5" s="30" t="s">
        <v>107</v>
      </c>
      <c r="J5" s="2" t="s">
        <v>368</v>
      </c>
      <c r="K5" s="2" t="s">
        <v>367</v>
      </c>
      <c r="L5" s="2" t="s">
        <v>369</v>
      </c>
      <c r="M5" s="2" t="s">
        <v>371</v>
      </c>
      <c r="N5" s="2" t="s">
        <v>370</v>
      </c>
      <c r="S5" s="2" t="s">
        <v>70</v>
      </c>
    </row>
    <row r="6" spans="1:19">
      <c r="I6" s="2" t="str">
        <f>I16</f>
        <v>LungCancer</v>
      </c>
      <c r="J6" s="39">
        <v>0.9</v>
      </c>
      <c r="K6" s="39">
        <v>0.9</v>
      </c>
      <c r="L6" s="39">
        <v>0.9</v>
      </c>
      <c r="M6" s="39">
        <v>0.9</v>
      </c>
      <c r="N6" s="39">
        <v>0.9</v>
      </c>
      <c r="R6" s="2" t="str">
        <f>Prophs!C6</f>
        <v>User Proph 1</v>
      </c>
      <c r="S6" s="39">
        <v>1</v>
      </c>
    </row>
    <row r="7" spans="1:19">
      <c r="I7" s="2" t="str">
        <f t="shared" ref="I7:I10" si="0">I17</f>
        <v>COPD</v>
      </c>
      <c r="J7" s="39">
        <v>0.9</v>
      </c>
      <c r="K7" s="39">
        <v>0.9</v>
      </c>
      <c r="L7" s="39">
        <v>0.9</v>
      </c>
      <c r="M7" s="39">
        <v>0.9</v>
      </c>
      <c r="N7" s="39">
        <v>0.9</v>
      </c>
      <c r="R7" s="2" t="str">
        <f>Prophs!C7</f>
        <v>User Proph 2</v>
      </c>
      <c r="S7" s="39">
        <v>1</v>
      </c>
    </row>
    <row r="8" spans="1:19">
      <c r="A8" s="12" t="s">
        <v>66</v>
      </c>
      <c r="I8" s="2" t="str">
        <f t="shared" si="0"/>
        <v>MI</v>
      </c>
      <c r="J8" s="39">
        <v>0.9</v>
      </c>
      <c r="K8" s="39">
        <v>0.9</v>
      </c>
      <c r="L8" s="39">
        <v>0.9</v>
      </c>
      <c r="M8" s="39">
        <v>0.9</v>
      </c>
      <c r="N8" s="39">
        <v>0.9</v>
      </c>
      <c r="R8" s="2" t="str">
        <f>Prophs!C8</f>
        <v>User Proph 3</v>
      </c>
      <c r="S8" s="39">
        <v>1</v>
      </c>
    </row>
    <row r="9" spans="1:19">
      <c r="I9" s="2" t="str">
        <f t="shared" si="0"/>
        <v>Stroke</v>
      </c>
      <c r="J9" s="39">
        <v>0.9</v>
      </c>
      <c r="K9" s="39">
        <v>0.9</v>
      </c>
      <c r="L9" s="39">
        <v>0.9</v>
      </c>
      <c r="M9" s="39">
        <v>0.9</v>
      </c>
      <c r="N9" s="39">
        <v>0.9</v>
      </c>
      <c r="R9" s="2" t="str">
        <f>Prophs!C9</f>
        <v>User Proph 4</v>
      </c>
      <c r="S9" s="39">
        <v>1</v>
      </c>
    </row>
    <row r="10" spans="1:19">
      <c r="C10" s="2" t="s">
        <v>65</v>
      </c>
      <c r="D10" s="2" t="s">
        <v>19</v>
      </c>
      <c r="E10" s="2" t="s">
        <v>20</v>
      </c>
      <c r="I10" s="2" t="str">
        <f t="shared" si="0"/>
        <v>OthEvent</v>
      </c>
      <c r="J10" s="39">
        <v>0.9</v>
      </c>
      <c r="K10" s="39">
        <v>0.9</v>
      </c>
      <c r="L10" s="39">
        <v>0.9</v>
      </c>
      <c r="M10" s="39">
        <v>0.9</v>
      </c>
      <c r="N10" s="39">
        <v>0.9</v>
      </c>
      <c r="R10" s="2" t="str">
        <f>Prophs!C10</f>
        <v>User Proph 5</v>
      </c>
      <c r="S10" s="39">
        <v>1</v>
      </c>
    </row>
    <row r="11" spans="1:19">
      <c r="B11" s="2" t="s">
        <v>15</v>
      </c>
      <c r="C11" s="39">
        <v>1</v>
      </c>
      <c r="D11" s="39">
        <v>1</v>
      </c>
      <c r="E11" s="39">
        <v>1</v>
      </c>
      <c r="R11" s="2" t="str">
        <f>Prophs!C11</f>
        <v>User Proph 6</v>
      </c>
      <c r="S11" s="39">
        <v>1</v>
      </c>
    </row>
    <row r="12" spans="1:19">
      <c r="B12" s="2" t="s">
        <v>16</v>
      </c>
      <c r="C12" s="39">
        <v>1</v>
      </c>
      <c r="D12" s="39">
        <v>1</v>
      </c>
      <c r="E12" s="39">
        <v>1</v>
      </c>
      <c r="R12" s="2" t="str">
        <f>Prophs!C12</f>
        <v>User Proph 7</v>
      </c>
      <c r="S12" s="39">
        <v>1</v>
      </c>
    </row>
    <row r="13" spans="1:19">
      <c r="B13" s="2" t="s">
        <v>17</v>
      </c>
      <c r="C13" s="39">
        <v>1</v>
      </c>
      <c r="D13" s="39">
        <v>1</v>
      </c>
      <c r="E13" s="39">
        <v>1</v>
      </c>
      <c r="H13" s="12" t="s">
        <v>373</v>
      </c>
      <c r="R13" s="2" t="str">
        <f>Prophs!C13</f>
        <v>User Proph 8</v>
      </c>
      <c r="S13" s="39">
        <v>1</v>
      </c>
    </row>
    <row r="14" spans="1:19">
      <c r="R14" s="2" t="str">
        <f>Prophs!C14</f>
        <v>User Proph 9</v>
      </c>
      <c r="S14" s="39">
        <v>1</v>
      </c>
    </row>
    <row r="15" spans="1:19">
      <c r="J15" s="2" t="s">
        <v>374</v>
      </c>
      <c r="K15" s="2" t="s">
        <v>375</v>
      </c>
      <c r="R15" s="2" t="str">
        <f>Prophs!C15</f>
        <v>User Proph 10</v>
      </c>
      <c r="S15" s="39">
        <v>1</v>
      </c>
    </row>
    <row r="16" spans="1:19">
      <c r="A16" s="12" t="s">
        <v>104</v>
      </c>
      <c r="I16" s="2" t="str">
        <f>Simulation!B12</f>
        <v>LungCancer</v>
      </c>
      <c r="J16" s="39">
        <v>0.5</v>
      </c>
      <c r="K16" s="39">
        <v>0.9</v>
      </c>
    </row>
    <row r="17" spans="2:19">
      <c r="I17" s="2" t="str">
        <f>Simulation!B13</f>
        <v>COPD</v>
      </c>
      <c r="J17" s="39">
        <v>0.5</v>
      </c>
      <c r="K17" s="39">
        <v>0.9</v>
      </c>
    </row>
    <row r="18" spans="2:19">
      <c r="C18" s="2" t="s">
        <v>105</v>
      </c>
      <c r="D18" s="2" t="s">
        <v>71</v>
      </c>
      <c r="I18" s="2" t="str">
        <f>Simulation!B14</f>
        <v>MI</v>
      </c>
      <c r="J18" s="39">
        <v>0.5</v>
      </c>
      <c r="K18" s="39">
        <v>0.9</v>
      </c>
      <c r="Q18" s="12" t="s">
        <v>69</v>
      </c>
    </row>
    <row r="19" spans="2:19">
      <c r="B19" s="2" t="str">
        <f>B11</f>
        <v>Light</v>
      </c>
      <c r="C19" s="39">
        <v>1</v>
      </c>
      <c r="D19" s="8">
        <v>6</v>
      </c>
      <c r="I19" s="2" t="str">
        <f>Simulation!B15</f>
        <v>Stroke</v>
      </c>
      <c r="J19" s="39">
        <v>0.5</v>
      </c>
      <c r="K19" s="39">
        <v>0.9</v>
      </c>
    </row>
    <row r="20" spans="2:19">
      <c r="B20" s="2" t="str">
        <f>B12</f>
        <v>Moderate</v>
      </c>
      <c r="C20" s="39">
        <v>1</v>
      </c>
      <c r="D20" s="8">
        <v>6</v>
      </c>
      <c r="I20" s="2" t="str">
        <f>Simulation!B16</f>
        <v>OthEvent</v>
      </c>
      <c r="J20" s="39">
        <v>0.5</v>
      </c>
      <c r="K20" s="39">
        <v>0.9</v>
      </c>
      <c r="S20" s="2" t="s">
        <v>70</v>
      </c>
    </row>
    <row r="21" spans="2:19">
      <c r="B21" s="2" t="str">
        <f>B13</f>
        <v>Heavy</v>
      </c>
      <c r="C21" s="39">
        <v>1</v>
      </c>
      <c r="D21" s="8">
        <v>6</v>
      </c>
      <c r="R21" s="2" t="str">
        <f>Intervention!C6</f>
        <v>Intervention 1</v>
      </c>
      <c r="S21" s="39">
        <v>1</v>
      </c>
    </row>
    <row r="22" spans="2:19">
      <c r="R22" s="2" t="str">
        <f>Intervention!C7</f>
        <v>Intervention 2</v>
      </c>
      <c r="S22" s="39">
        <v>1</v>
      </c>
    </row>
    <row r="23" spans="2:19">
      <c r="H23" s="12" t="s">
        <v>67</v>
      </c>
      <c r="R23" s="2" t="str">
        <f>Intervention!C8</f>
        <v>Intervention 3</v>
      </c>
      <c r="S23" s="39">
        <v>1</v>
      </c>
    </row>
    <row r="24" spans="2:19">
      <c r="R24" s="2" t="str">
        <f>Intervention!C9</f>
        <v>Intervention 4</v>
      </c>
      <c r="S24" s="39">
        <v>1</v>
      </c>
    </row>
    <row r="25" spans="2:19">
      <c r="J25" s="2" t="s">
        <v>70</v>
      </c>
      <c r="R25" s="2" t="str">
        <f>Intervention!C10</f>
        <v>Intervention 5</v>
      </c>
      <c r="S25" s="39">
        <v>1</v>
      </c>
    </row>
    <row r="26" spans="2:19">
      <c r="I26" s="2" t="str">
        <f>I16</f>
        <v>LungCancer</v>
      </c>
      <c r="J26" s="39">
        <v>1</v>
      </c>
      <c r="R26" s="2" t="str">
        <f>Intervention!C11</f>
        <v>Intervention 6</v>
      </c>
      <c r="S26" s="39">
        <v>1</v>
      </c>
    </row>
    <row r="27" spans="2:19">
      <c r="I27" s="2" t="str">
        <f>I17</f>
        <v>COPD</v>
      </c>
      <c r="J27" s="39">
        <v>1</v>
      </c>
      <c r="R27" s="2" t="str">
        <f>Intervention!C12</f>
        <v>Intervention 7</v>
      </c>
      <c r="S27" s="39">
        <v>1</v>
      </c>
    </row>
    <row r="28" spans="2:19">
      <c r="I28" s="2" t="str">
        <f>I18</f>
        <v>MI</v>
      </c>
      <c r="J28" s="39">
        <v>1</v>
      </c>
      <c r="R28" s="2" t="str">
        <f>Intervention!C13</f>
        <v>Intervention 8</v>
      </c>
      <c r="S28" s="39">
        <v>1</v>
      </c>
    </row>
    <row r="29" spans="2:19">
      <c r="I29" s="2" t="str">
        <f>I19</f>
        <v>Stroke</v>
      </c>
      <c r="J29" s="39">
        <v>1</v>
      </c>
      <c r="R29" s="2" t="str">
        <f>Intervention!C14</f>
        <v>Intervention 9</v>
      </c>
      <c r="S29" s="39">
        <v>1</v>
      </c>
    </row>
    <row r="30" spans="2:19">
      <c r="I30" s="2" t="str">
        <f>I20</f>
        <v>OthEvent</v>
      </c>
      <c r="J30" s="39">
        <v>1</v>
      </c>
      <c r="R30" s="2" t="str">
        <f>Intervention!C15</f>
        <v>Intervention 10</v>
      </c>
      <c r="S30" s="39">
        <v>1</v>
      </c>
    </row>
  </sheetData>
  <conditionalFormatting sqref="S6:S15 J26:J30 C11:E13 J16:K20 J6:N10 C19:D21 S21:S30">
    <cfRule type="expression" dxfId="0" priority="2">
      <formula>#REF!</formula>
    </cfRule>
  </conditionalFormatting>
  <dataValidations count="1">
    <dataValidation type="list" allowBlank="1" showInputMessage="1" showErrorMessage="1" sqref="B5">
      <formula1>"0,1"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4" enableFormatConditionsCalculation="0"/>
  <dimension ref="A1:CG77"/>
  <sheetViews>
    <sheetView topLeftCell="A4" workbookViewId="0">
      <selection activeCell="V8" sqref="V8"/>
    </sheetView>
  </sheetViews>
  <sheetFormatPr defaultColWidth="9.140625" defaultRowHeight="12.75"/>
  <cols>
    <col min="1" max="4" width="9.140625" style="2"/>
    <col min="5" max="5" width="10.7109375" style="2" bestFit="1" customWidth="1"/>
    <col min="6" max="6" width="3.28515625" style="9" customWidth="1"/>
    <col min="7" max="7" width="3.28515625" style="44" customWidth="1"/>
    <col min="8" max="8" width="10" style="2" customWidth="1"/>
    <col min="9" max="9" width="9.85546875" style="2" customWidth="1"/>
    <col min="10" max="10" width="9.28515625" style="2" customWidth="1"/>
    <col min="11" max="11" width="10.42578125" style="2" customWidth="1"/>
    <col min="12" max="12" width="10" style="2" customWidth="1"/>
    <col min="13" max="18" width="9.140625" style="2"/>
    <col min="19" max="19" width="2.85546875" style="9" customWidth="1"/>
    <col min="20" max="20" width="3.28515625" style="44" customWidth="1"/>
    <col min="21" max="21" width="3.28515625" style="2" customWidth="1"/>
    <col min="22" max="22" width="37.7109375" style="2" customWidth="1"/>
    <col min="23" max="32" width="9.140625" style="2"/>
    <col min="33" max="33" width="10.42578125" style="2" customWidth="1"/>
    <col min="34" max="34" width="2.85546875" style="9" customWidth="1"/>
    <col min="35" max="35" width="3.28515625" style="44" customWidth="1"/>
    <col min="36" max="36" width="3.85546875" style="2" customWidth="1"/>
    <col min="37" max="37" width="28.42578125" style="2" customWidth="1"/>
    <col min="38" max="47" width="9.140625" style="2"/>
    <col min="48" max="48" width="10.7109375" style="2" bestFit="1" customWidth="1"/>
    <col min="49" max="49" width="2.85546875" style="9" customWidth="1"/>
    <col min="50" max="50" width="3.28515625" style="2" customWidth="1"/>
    <col min="51" max="53" width="9.140625" style="2"/>
    <col min="54" max="54" width="32.28515625" style="2" customWidth="1"/>
    <col min="55" max="56" width="9.140625" style="2"/>
    <col min="57" max="57" width="2.85546875" style="9" customWidth="1"/>
    <col min="58" max="58" width="3.28515625" style="2" customWidth="1"/>
    <col min="59" max="59" width="9.140625" style="2"/>
    <col min="60" max="60" width="12.28515625" style="2" bestFit="1" customWidth="1"/>
    <col min="61" max="61" width="12.42578125" style="2" bestFit="1" customWidth="1"/>
    <col min="62" max="62" width="16.7109375" style="2" bestFit="1" customWidth="1"/>
    <col min="63" max="63" width="9.140625" style="2"/>
    <col min="64" max="64" width="3.28515625" style="2" customWidth="1"/>
    <col min="65" max="65" width="12.42578125" style="2" bestFit="1" customWidth="1"/>
    <col min="66" max="68" width="9.140625" style="2"/>
    <col min="69" max="69" width="3.28515625" style="9" customWidth="1"/>
    <col min="70" max="70" width="9.140625" style="2"/>
    <col min="71" max="71" width="10.85546875" style="2" bestFit="1" customWidth="1"/>
    <col min="72" max="16384" width="9.140625" style="2"/>
  </cols>
  <sheetData>
    <row r="1" spans="1:85" s="14" customFormat="1" ht="20.25">
      <c r="A1" s="13" t="s">
        <v>114</v>
      </c>
      <c r="F1" s="34"/>
      <c r="G1" s="33"/>
      <c r="S1" s="31"/>
      <c r="T1" s="87"/>
      <c r="AH1" s="34"/>
      <c r="AI1" s="33"/>
      <c r="AW1" s="34"/>
      <c r="BE1" s="34"/>
      <c r="BQ1" s="34"/>
    </row>
    <row r="2" spans="1:85" s="1" customFormat="1" ht="15">
      <c r="A2" s="68" t="s">
        <v>250</v>
      </c>
      <c r="F2" s="26"/>
      <c r="G2" s="88" t="s">
        <v>126</v>
      </c>
      <c r="S2" s="9"/>
      <c r="T2" s="88" t="s">
        <v>152</v>
      </c>
      <c r="V2" s="68"/>
      <c r="AH2" s="26"/>
      <c r="AI2" s="68" t="s">
        <v>58</v>
      </c>
      <c r="AW2" s="26"/>
      <c r="AX2" s="68" t="s">
        <v>220</v>
      </c>
      <c r="BE2" s="26"/>
      <c r="BF2" s="68" t="s">
        <v>261</v>
      </c>
      <c r="BQ2" s="26"/>
      <c r="BR2" s="68" t="s">
        <v>247</v>
      </c>
    </row>
    <row r="3" spans="1:85" ht="15">
      <c r="A3" s="2" t="s">
        <v>251</v>
      </c>
      <c r="C3" s="8">
        <v>1</v>
      </c>
      <c r="D3" s="3" t="s">
        <v>233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W3" s="2" t="s">
        <v>153</v>
      </c>
      <c r="X3" s="2" t="s">
        <v>154</v>
      </c>
      <c r="Y3" s="2" t="s">
        <v>155</v>
      </c>
      <c r="Z3" s="2" t="s">
        <v>156</v>
      </c>
      <c r="AA3" s="2" t="s">
        <v>157</v>
      </c>
      <c r="AB3" s="2" t="s">
        <v>158</v>
      </c>
      <c r="AC3" s="2" t="s">
        <v>159</v>
      </c>
      <c r="AD3" s="2" t="s">
        <v>160</v>
      </c>
      <c r="AE3" s="2" t="s">
        <v>161</v>
      </c>
      <c r="AF3" s="2" t="s">
        <v>162</v>
      </c>
      <c r="AH3" s="26"/>
      <c r="AI3" s="2" t="s">
        <v>234</v>
      </c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26"/>
      <c r="AX3" s="1"/>
      <c r="AY3" s="197" t="s">
        <v>221</v>
      </c>
      <c r="AZ3" s="197"/>
      <c r="BA3" s="197"/>
      <c r="BB3" s="197"/>
      <c r="BC3" s="8">
        <v>5.0000000000000001E-3</v>
      </c>
      <c r="BD3" s="27"/>
      <c r="BE3" s="26"/>
      <c r="BF3" s="68"/>
      <c r="BG3" s="1"/>
      <c r="BH3" s="1"/>
      <c r="BI3" s="1"/>
      <c r="BJ3" s="1"/>
      <c r="BK3" s="1"/>
      <c r="BL3" s="1"/>
      <c r="BM3" s="1"/>
      <c r="BN3" s="1"/>
      <c r="BO3" s="1"/>
      <c r="BP3" s="1"/>
      <c r="BR3" s="2" t="s">
        <v>248</v>
      </c>
    </row>
    <row r="4" spans="1:85" ht="15">
      <c r="AI4" s="68"/>
      <c r="AM4" s="201" t="s">
        <v>122</v>
      </c>
      <c r="AN4" s="202"/>
      <c r="AO4" s="201" t="s">
        <v>123</v>
      </c>
      <c r="AP4" s="203"/>
      <c r="AT4" s="1"/>
      <c r="AU4" s="1"/>
      <c r="AV4" s="1"/>
      <c r="AW4" s="26"/>
      <c r="AX4" s="1"/>
      <c r="AY4" s="197" t="s">
        <v>222</v>
      </c>
      <c r="AZ4" s="197"/>
      <c r="BA4" s="197"/>
      <c r="BB4" s="197"/>
      <c r="BC4" s="8">
        <v>0.05</v>
      </c>
      <c r="BD4" s="27"/>
      <c r="BE4" s="26"/>
      <c r="BF4" s="2" t="s">
        <v>217</v>
      </c>
      <c r="BG4" s="1"/>
      <c r="BH4" s="1"/>
      <c r="BI4" s="1"/>
      <c r="BJ4" s="1"/>
      <c r="BK4" s="1"/>
      <c r="BL4" s="1"/>
      <c r="BM4" s="1"/>
      <c r="BN4" s="1"/>
      <c r="BO4" s="1"/>
      <c r="BP4" s="1"/>
      <c r="BS4" s="2" t="s">
        <v>13</v>
      </c>
    </row>
    <row r="5" spans="1:85" ht="15">
      <c r="A5" s="197" t="s">
        <v>265</v>
      </c>
      <c r="B5" s="197"/>
      <c r="C5" s="197"/>
      <c r="D5" s="197"/>
      <c r="E5" s="32">
        <v>0.5</v>
      </c>
      <c r="H5" s="12" t="s">
        <v>137</v>
      </c>
      <c r="N5" s="74" t="s">
        <v>139</v>
      </c>
      <c r="O5" s="75"/>
      <c r="P5" s="75"/>
      <c r="Q5" s="76"/>
      <c r="U5" s="2" t="s">
        <v>163</v>
      </c>
      <c r="AH5" s="26"/>
      <c r="AI5" s="68"/>
      <c r="AM5" s="93" t="s">
        <v>237</v>
      </c>
      <c r="AN5" s="15" t="s">
        <v>236</v>
      </c>
      <c r="AO5" s="93" t="s">
        <v>237</v>
      </c>
      <c r="AP5" s="94" t="s">
        <v>236</v>
      </c>
      <c r="AQ5" s="2" t="s">
        <v>235</v>
      </c>
      <c r="AT5" s="1"/>
      <c r="AU5" s="1"/>
      <c r="AV5" s="1"/>
      <c r="AW5" s="26"/>
      <c r="AX5" s="1"/>
      <c r="AY5" s="197" t="s">
        <v>223</v>
      </c>
      <c r="AZ5" s="197"/>
      <c r="BA5" s="197"/>
      <c r="BB5" s="197"/>
      <c r="BC5" s="8">
        <v>1</v>
      </c>
      <c r="BD5" s="27"/>
      <c r="BE5" s="26"/>
      <c r="BF5" s="2" t="s">
        <v>218</v>
      </c>
      <c r="BH5" s="2" t="s">
        <v>219</v>
      </c>
      <c r="BI5" s="2" t="s">
        <v>61</v>
      </c>
      <c r="BJ5" s="2" t="s">
        <v>246</v>
      </c>
      <c r="BL5" s="2" t="s">
        <v>227</v>
      </c>
      <c r="BN5" s="2" t="s">
        <v>12</v>
      </c>
      <c r="BO5" s="2" t="s">
        <v>13</v>
      </c>
    </row>
    <row r="6" spans="1:85" ht="15">
      <c r="J6" s="11" t="s">
        <v>138</v>
      </c>
      <c r="K6" s="73"/>
      <c r="L6" s="101" t="str">
        <f xml:space="preserve"> "CD4 VHI:  x &gt;=" &amp; J7</f>
        <v>CD4 VHI:  x &gt;=500</v>
      </c>
      <c r="N6" s="77">
        <v>6</v>
      </c>
      <c r="O6" s="64" t="s">
        <v>128</v>
      </c>
      <c r="P6" s="64" t="s">
        <v>140</v>
      </c>
      <c r="Q6" s="78"/>
      <c r="V6" s="98" t="s">
        <v>164</v>
      </c>
      <c r="W6" s="8">
        <v>2</v>
      </c>
      <c r="X6" s="8">
        <v>2</v>
      </c>
      <c r="Y6" s="8">
        <v>2</v>
      </c>
      <c r="Z6" s="8">
        <v>2</v>
      </c>
      <c r="AA6" s="8">
        <v>2</v>
      </c>
      <c r="AB6" s="8">
        <v>2</v>
      </c>
      <c r="AC6" s="8">
        <v>2</v>
      </c>
      <c r="AD6" s="8">
        <v>2</v>
      </c>
      <c r="AE6" s="8">
        <v>2</v>
      </c>
      <c r="AF6" s="8">
        <v>2</v>
      </c>
      <c r="AH6" s="26"/>
      <c r="AI6" s="68"/>
      <c r="AL6" s="2" t="s">
        <v>116</v>
      </c>
      <c r="AM6" s="92">
        <v>2.4996875260396801E-4</v>
      </c>
      <c r="AN6" s="92">
        <v>2.9877894388357199E-2</v>
      </c>
      <c r="AO6" s="92">
        <v>2.4996875260396801E-4</v>
      </c>
      <c r="AP6" s="92">
        <v>2.9877894388357199E-2</v>
      </c>
      <c r="AQ6" s="72">
        <v>12</v>
      </c>
      <c r="AT6" s="1"/>
      <c r="AU6" s="1"/>
      <c r="AV6" s="1"/>
      <c r="AY6" s="98"/>
      <c r="AZ6" s="98"/>
      <c r="BA6" s="98"/>
      <c r="BB6" s="98"/>
      <c r="BC6" s="91"/>
      <c r="BG6" s="2" t="s">
        <v>153</v>
      </c>
      <c r="BH6" s="8">
        <v>10</v>
      </c>
      <c r="BI6" s="8">
        <v>10</v>
      </c>
      <c r="BJ6" s="8">
        <v>10</v>
      </c>
      <c r="BM6" s="89" t="s">
        <v>116</v>
      </c>
      <c r="BN6" s="8">
        <v>10</v>
      </c>
      <c r="BO6" s="8">
        <v>10</v>
      </c>
      <c r="BS6" s="2" t="s">
        <v>22</v>
      </c>
      <c r="BT6" s="2" t="s">
        <v>108</v>
      </c>
      <c r="BU6" s="2" t="s">
        <v>83</v>
      </c>
      <c r="BV6" s="2" t="s">
        <v>84</v>
      </c>
      <c r="BW6" s="2" t="s">
        <v>85</v>
      </c>
      <c r="BX6" s="2" t="s">
        <v>86</v>
      </c>
      <c r="BY6" s="2" t="s">
        <v>87</v>
      </c>
      <c r="BZ6" s="2" t="s">
        <v>88</v>
      </c>
      <c r="CA6" s="2" t="s">
        <v>89</v>
      </c>
      <c r="CB6" s="2" t="s">
        <v>90</v>
      </c>
      <c r="CC6" s="2" t="s">
        <v>91</v>
      </c>
      <c r="CD6" s="2" t="s">
        <v>92</v>
      </c>
      <c r="CE6" s="2" t="s">
        <v>93</v>
      </c>
      <c r="CF6" s="2" t="s">
        <v>94</v>
      </c>
      <c r="CG6" s="2" t="s">
        <v>95</v>
      </c>
    </row>
    <row r="7" spans="1:85" ht="15">
      <c r="I7" s="82" t="s">
        <v>117</v>
      </c>
      <c r="J7" s="72">
        <v>500</v>
      </c>
      <c r="K7" s="73"/>
      <c r="L7" s="101" t="str">
        <f xml:space="preserve"> J8 &amp; " &lt;= x &lt; " &amp; J7</f>
        <v>350 &lt;= x &lt; 500</v>
      </c>
      <c r="N7" s="77">
        <v>5</v>
      </c>
      <c r="O7" s="64" t="s">
        <v>129</v>
      </c>
      <c r="P7" s="64" t="s">
        <v>141</v>
      </c>
      <c r="Q7" s="78"/>
      <c r="V7" s="98" t="s">
        <v>165</v>
      </c>
      <c r="W7" s="8">
        <v>6</v>
      </c>
      <c r="X7" s="8">
        <v>6</v>
      </c>
      <c r="Y7" s="8">
        <v>6</v>
      </c>
      <c r="Z7" s="8">
        <v>6</v>
      </c>
      <c r="AA7" s="8">
        <v>6</v>
      </c>
      <c r="AB7" s="8">
        <v>6</v>
      </c>
      <c r="AC7" s="8">
        <v>6</v>
      </c>
      <c r="AD7" s="8">
        <v>6</v>
      </c>
      <c r="AE7" s="8">
        <v>6</v>
      </c>
      <c r="AF7" s="8">
        <v>6</v>
      </c>
      <c r="AH7" s="26"/>
      <c r="AI7" s="68"/>
      <c r="AL7" s="2" t="s">
        <v>117</v>
      </c>
      <c r="AM7" s="92">
        <v>5.8316322752216499E-4</v>
      </c>
      <c r="AN7" s="92">
        <v>3.4475047507751502E-2</v>
      </c>
      <c r="AO7" s="92">
        <v>5.8316322752216499E-4</v>
      </c>
      <c r="AP7" s="92">
        <v>3.4475047507751502E-2</v>
      </c>
      <c r="AQ7" s="72">
        <v>12</v>
      </c>
      <c r="AT7" s="1"/>
      <c r="AU7" s="1"/>
      <c r="AV7" s="1"/>
      <c r="AX7" s="2" t="s">
        <v>224</v>
      </c>
      <c r="BC7" s="91"/>
      <c r="BG7" s="2" t="s">
        <v>154</v>
      </c>
      <c r="BH7" s="8">
        <v>10</v>
      </c>
      <c r="BI7" s="8">
        <v>10</v>
      </c>
      <c r="BJ7" s="8">
        <v>10</v>
      </c>
      <c r="BM7" s="89" t="s">
        <v>117</v>
      </c>
      <c r="BN7" s="8">
        <v>10</v>
      </c>
      <c r="BO7" s="8">
        <v>10</v>
      </c>
      <c r="BS7" s="2" t="str">
        <f>Events!B6</f>
        <v>LungCancer</v>
      </c>
      <c r="BT7" s="8">
        <v>0.2</v>
      </c>
      <c r="BU7" s="8">
        <v>0.3</v>
      </c>
      <c r="BV7" s="8">
        <v>0.4</v>
      </c>
      <c r="BW7" s="8">
        <v>0.5</v>
      </c>
      <c r="BX7" s="8">
        <v>0.7</v>
      </c>
      <c r="BY7" s="8">
        <v>0.9</v>
      </c>
      <c r="BZ7" s="8">
        <v>0.9</v>
      </c>
      <c r="CA7" s="8">
        <v>0.9</v>
      </c>
      <c r="CB7" s="8">
        <v>0.9</v>
      </c>
      <c r="CC7" s="8">
        <v>0.9</v>
      </c>
      <c r="CD7" s="8">
        <v>0.9</v>
      </c>
      <c r="CE7" s="8">
        <v>0.9</v>
      </c>
      <c r="CF7" s="8">
        <v>0.9</v>
      </c>
      <c r="CG7" s="8">
        <v>0.9</v>
      </c>
    </row>
    <row r="8" spans="1:85" ht="15">
      <c r="I8" s="82" t="s">
        <v>118</v>
      </c>
      <c r="J8" s="72">
        <v>350</v>
      </c>
      <c r="K8" s="73"/>
      <c r="L8" s="101" t="str">
        <f xml:space="preserve"> J9 &amp; " &lt;= x &lt; " &amp; J8</f>
        <v>200 &lt;= x &lt; 350</v>
      </c>
      <c r="N8" s="77">
        <v>4</v>
      </c>
      <c r="O8" s="64" t="s">
        <v>130</v>
      </c>
      <c r="P8" s="64" t="s">
        <v>142</v>
      </c>
      <c r="Q8" s="78"/>
      <c r="U8" s="2" t="s">
        <v>174</v>
      </c>
      <c r="AH8" s="26"/>
      <c r="AI8" s="68"/>
      <c r="AL8" s="2" t="s">
        <v>118</v>
      </c>
      <c r="AM8" s="92">
        <v>9.1624665612410905E-4</v>
      </c>
      <c r="AN8" s="92">
        <v>2.6963158153221398E-2</v>
      </c>
      <c r="AO8" s="92">
        <v>9.1624665612410905E-4</v>
      </c>
      <c r="AP8" s="92">
        <v>2.6963158153221398E-2</v>
      </c>
      <c r="AQ8" s="72">
        <v>12</v>
      </c>
      <c r="AT8" s="1"/>
      <c r="AU8" s="1"/>
      <c r="AV8" s="1"/>
      <c r="AY8" s="197" t="s">
        <v>225</v>
      </c>
      <c r="AZ8" s="197"/>
      <c r="BA8" s="197"/>
      <c r="BB8" s="199"/>
      <c r="BC8" s="8">
        <v>0.5</v>
      </c>
      <c r="BG8" s="2" t="s">
        <v>155</v>
      </c>
      <c r="BH8" s="8">
        <v>10</v>
      </c>
      <c r="BI8" s="8">
        <v>10</v>
      </c>
      <c r="BJ8" s="8">
        <v>10</v>
      </c>
      <c r="BM8" s="89" t="s">
        <v>118</v>
      </c>
      <c r="BN8" s="8">
        <v>10</v>
      </c>
      <c r="BO8" s="8">
        <v>10</v>
      </c>
      <c r="BS8" s="2" t="str">
        <f>Events!B7</f>
        <v>COPD</v>
      </c>
      <c r="BT8" s="8">
        <v>0.2</v>
      </c>
      <c r="BU8" s="8">
        <v>0.3</v>
      </c>
      <c r="BV8" s="8">
        <v>0.4</v>
      </c>
      <c r="BW8" s="8">
        <v>0.5</v>
      </c>
      <c r="BX8" s="8">
        <v>0.7</v>
      </c>
      <c r="BY8" s="8">
        <v>0.9</v>
      </c>
      <c r="BZ8" s="8">
        <v>0.9</v>
      </c>
      <c r="CA8" s="8">
        <v>0.9</v>
      </c>
      <c r="CB8" s="8">
        <v>0.9</v>
      </c>
      <c r="CC8" s="8">
        <v>0.9</v>
      </c>
      <c r="CD8" s="8">
        <v>0.9</v>
      </c>
      <c r="CE8" s="8">
        <v>0.9</v>
      </c>
      <c r="CF8" s="8">
        <v>0.9</v>
      </c>
      <c r="CG8" s="8">
        <v>0.9</v>
      </c>
    </row>
    <row r="9" spans="1:85" ht="14.25" customHeight="1">
      <c r="I9" s="82" t="s">
        <v>119</v>
      </c>
      <c r="J9" s="72">
        <v>200</v>
      </c>
      <c r="K9" s="73"/>
      <c r="L9" s="101" t="str">
        <f xml:space="preserve"> J10 &amp; " &lt;= x &lt; " &amp; J9</f>
        <v>100 &lt;= x &lt; 200</v>
      </c>
      <c r="N9" s="77">
        <v>3</v>
      </c>
      <c r="O9" s="64" t="s">
        <v>131</v>
      </c>
      <c r="P9" s="64" t="s">
        <v>143</v>
      </c>
      <c r="Q9" s="78"/>
      <c r="V9" s="98" t="s">
        <v>10</v>
      </c>
      <c r="W9" s="8">
        <v>80</v>
      </c>
      <c r="X9" s="8">
        <v>80</v>
      </c>
      <c r="Y9" s="8">
        <v>80</v>
      </c>
      <c r="Z9" s="8">
        <v>80</v>
      </c>
      <c r="AA9" s="8">
        <v>80</v>
      </c>
      <c r="AB9" s="8">
        <v>80</v>
      </c>
      <c r="AC9" s="8">
        <v>80</v>
      </c>
      <c r="AD9" s="8">
        <v>80</v>
      </c>
      <c r="AE9" s="8">
        <v>80</v>
      </c>
      <c r="AF9" s="8">
        <v>80</v>
      </c>
      <c r="AH9" s="26"/>
      <c r="AI9" s="68"/>
      <c r="AL9" s="2" t="s">
        <v>119</v>
      </c>
      <c r="AM9" s="92">
        <v>2.4968776025399201E-3</v>
      </c>
      <c r="AN9" s="92">
        <v>3.3025673320130101E-2</v>
      </c>
      <c r="AO9" s="92">
        <v>2.4968776025399201E-3</v>
      </c>
      <c r="AP9" s="92">
        <v>3.3025673320130101E-2</v>
      </c>
      <c r="AQ9" s="72">
        <v>12</v>
      </c>
      <c r="AT9" s="1"/>
      <c r="AU9" s="1"/>
      <c r="AV9" s="1"/>
      <c r="AY9" s="98"/>
      <c r="AZ9" s="98"/>
      <c r="BA9" s="98"/>
      <c r="BB9" s="99"/>
      <c r="BC9" s="19"/>
      <c r="BG9" s="2" t="s">
        <v>156</v>
      </c>
      <c r="BH9" s="8">
        <v>10</v>
      </c>
      <c r="BI9" s="8">
        <v>10</v>
      </c>
      <c r="BJ9" s="8">
        <v>10</v>
      </c>
      <c r="BM9" s="89" t="s">
        <v>119</v>
      </c>
      <c r="BN9" s="8">
        <v>10</v>
      </c>
      <c r="BO9" s="8">
        <v>10</v>
      </c>
      <c r="BS9" s="2" t="str">
        <f>Events!B8</f>
        <v>MI</v>
      </c>
      <c r="BT9" s="8">
        <v>0.2</v>
      </c>
      <c r="BU9" s="8">
        <v>0.3</v>
      </c>
      <c r="BV9" s="8">
        <v>0.4</v>
      </c>
      <c r="BW9" s="8">
        <v>0.5</v>
      </c>
      <c r="BX9" s="8">
        <v>0.7</v>
      </c>
      <c r="BY9" s="8">
        <v>0.9</v>
      </c>
      <c r="BZ9" s="8">
        <v>0.9</v>
      </c>
      <c r="CA9" s="8">
        <v>0.9</v>
      </c>
      <c r="CB9" s="8">
        <v>0.9</v>
      </c>
      <c r="CC9" s="8">
        <v>0.9</v>
      </c>
      <c r="CD9" s="8">
        <v>0.9</v>
      </c>
      <c r="CE9" s="8">
        <v>0.9</v>
      </c>
      <c r="CF9" s="8">
        <v>0.9</v>
      </c>
      <c r="CG9" s="8">
        <v>0.9</v>
      </c>
    </row>
    <row r="10" spans="1:85" ht="15">
      <c r="I10" s="82" t="s">
        <v>120</v>
      </c>
      <c r="J10" s="72">
        <v>100</v>
      </c>
      <c r="K10" s="73"/>
      <c r="L10" s="101" t="str">
        <f xml:space="preserve"> J11 &amp; " &lt;= x &lt; " &amp; J10</f>
        <v>50 &lt;= x &lt; 100</v>
      </c>
      <c r="N10" s="77">
        <v>2</v>
      </c>
      <c r="O10" s="64" t="s">
        <v>132</v>
      </c>
      <c r="P10" s="64" t="s">
        <v>144</v>
      </c>
      <c r="Q10" s="78"/>
      <c r="V10" s="98" t="s">
        <v>11</v>
      </c>
      <c r="W10" s="8">
        <v>15</v>
      </c>
      <c r="X10" s="8">
        <v>15</v>
      </c>
      <c r="Y10" s="8">
        <v>15</v>
      </c>
      <c r="Z10" s="8">
        <v>15</v>
      </c>
      <c r="AA10" s="8">
        <v>15</v>
      </c>
      <c r="AB10" s="8">
        <v>15</v>
      </c>
      <c r="AC10" s="8">
        <v>15</v>
      </c>
      <c r="AD10" s="8">
        <v>15</v>
      </c>
      <c r="AE10" s="8">
        <v>15</v>
      </c>
      <c r="AF10" s="8">
        <v>15</v>
      </c>
      <c r="AH10" s="26"/>
      <c r="AI10" s="68"/>
      <c r="AL10" s="2" t="s">
        <v>120</v>
      </c>
      <c r="AM10" s="92">
        <v>3.4108365029099602E-3</v>
      </c>
      <c r="AN10" s="92">
        <v>3.2542065264851497E-2</v>
      </c>
      <c r="AO10" s="92">
        <v>3.4108365029099602E-3</v>
      </c>
      <c r="AP10" s="92">
        <v>3.2542065264851497E-2</v>
      </c>
      <c r="AQ10" s="72">
        <v>12</v>
      </c>
      <c r="AT10" s="1"/>
      <c r="AU10" s="1"/>
      <c r="AV10" s="1"/>
      <c r="AY10" s="98"/>
      <c r="BB10" s="98" t="s">
        <v>231</v>
      </c>
      <c r="BC10" s="95">
        <v>3</v>
      </c>
      <c r="BG10" s="2" t="s">
        <v>157</v>
      </c>
      <c r="BH10" s="8">
        <v>10</v>
      </c>
      <c r="BI10" s="8">
        <v>10</v>
      </c>
      <c r="BJ10" s="8">
        <v>10</v>
      </c>
      <c r="BM10" s="89" t="s">
        <v>120</v>
      </c>
      <c r="BN10" s="8">
        <v>10</v>
      </c>
      <c r="BO10" s="8">
        <v>10</v>
      </c>
      <c r="BS10" s="2" t="str">
        <f>Events!B9</f>
        <v>Stroke</v>
      </c>
      <c r="BT10" s="8">
        <v>0.2</v>
      </c>
      <c r="BU10" s="8">
        <v>0.3</v>
      </c>
      <c r="BV10" s="8">
        <v>0.4</v>
      </c>
      <c r="BW10" s="8">
        <v>0.5</v>
      </c>
      <c r="BX10" s="8">
        <v>0.7</v>
      </c>
      <c r="BY10" s="8">
        <v>0.9</v>
      </c>
      <c r="BZ10" s="8">
        <v>0.9</v>
      </c>
      <c r="CA10" s="8">
        <v>0.9</v>
      </c>
      <c r="CB10" s="8">
        <v>0.9</v>
      </c>
      <c r="CC10" s="8">
        <v>0.9</v>
      </c>
      <c r="CD10" s="8">
        <v>0.9</v>
      </c>
      <c r="CE10" s="8">
        <v>0.9</v>
      </c>
      <c r="CF10" s="8">
        <v>0.9</v>
      </c>
      <c r="CG10" s="8">
        <v>0.9</v>
      </c>
    </row>
    <row r="11" spans="1:85" ht="14.25" customHeight="1">
      <c r="I11" s="82" t="s">
        <v>121</v>
      </c>
      <c r="J11" s="72">
        <v>50</v>
      </c>
      <c r="K11" s="73"/>
      <c r="L11" s="101" t="str">
        <f xml:space="preserve">  "x &lt; " &amp; J11</f>
        <v>x &lt; 50</v>
      </c>
      <c r="N11" s="77">
        <v>1</v>
      </c>
      <c r="O11" s="64" t="s">
        <v>133</v>
      </c>
      <c r="P11" s="64" t="s">
        <v>145</v>
      </c>
      <c r="Q11" s="78"/>
      <c r="U11" s="2" t="s">
        <v>176</v>
      </c>
      <c r="AH11" s="26"/>
      <c r="AI11" s="68"/>
      <c r="AL11" s="2" t="s">
        <v>121</v>
      </c>
      <c r="AM11" s="92">
        <v>1.4723861390799699E-2</v>
      </c>
      <c r="AN11" s="92">
        <v>6.9003722405138204E-2</v>
      </c>
      <c r="AO11" s="92">
        <v>1.4723861390799699E-2</v>
      </c>
      <c r="AP11" s="92">
        <v>6.9003722405138204E-2</v>
      </c>
      <c r="AQ11" s="72">
        <v>12</v>
      </c>
      <c r="AT11" s="1"/>
      <c r="AU11" s="1"/>
      <c r="AV11" s="1"/>
      <c r="AY11" s="98"/>
      <c r="BB11" s="98" t="s">
        <v>232</v>
      </c>
      <c r="BC11" s="95">
        <v>6</v>
      </c>
      <c r="BG11" s="2" t="s">
        <v>158</v>
      </c>
      <c r="BH11" s="8">
        <v>10</v>
      </c>
      <c r="BI11" s="8">
        <v>10</v>
      </c>
      <c r="BJ11" s="8">
        <v>10</v>
      </c>
      <c r="BM11" s="89" t="s">
        <v>121</v>
      </c>
      <c r="BN11" s="8">
        <v>10</v>
      </c>
      <c r="BO11" s="8">
        <v>10</v>
      </c>
      <c r="BS11" s="2" t="str">
        <f>Events!B10</f>
        <v>OthEvent</v>
      </c>
      <c r="BT11" s="8">
        <v>0.2</v>
      </c>
      <c r="BU11" s="8">
        <v>0.3</v>
      </c>
      <c r="BV11" s="8">
        <v>0.4</v>
      </c>
      <c r="BW11" s="8">
        <v>0.5</v>
      </c>
      <c r="BX11" s="8">
        <v>0.7</v>
      </c>
      <c r="BY11" s="8">
        <v>0.9</v>
      </c>
      <c r="BZ11" s="8">
        <v>0.9</v>
      </c>
      <c r="CA11" s="8">
        <v>0.9</v>
      </c>
      <c r="CB11" s="8">
        <v>0.9</v>
      </c>
      <c r="CC11" s="8">
        <v>0.9</v>
      </c>
      <c r="CD11" s="8">
        <v>0.9</v>
      </c>
      <c r="CE11" s="8">
        <v>0.9</v>
      </c>
      <c r="CF11" s="8">
        <v>0.9</v>
      </c>
      <c r="CG11" s="8">
        <v>0.9</v>
      </c>
    </row>
    <row r="12" spans="1:85" ht="15">
      <c r="N12" s="79">
        <v>0</v>
      </c>
      <c r="O12" s="80" t="s">
        <v>134</v>
      </c>
      <c r="P12" s="80" t="s">
        <v>146</v>
      </c>
      <c r="Q12" s="83" t="s">
        <v>147</v>
      </c>
      <c r="V12" s="98" t="s">
        <v>10</v>
      </c>
      <c r="W12" s="8">
        <v>20</v>
      </c>
      <c r="X12" s="8">
        <v>20</v>
      </c>
      <c r="Y12" s="8">
        <v>20</v>
      </c>
      <c r="Z12" s="8">
        <v>20</v>
      </c>
      <c r="AA12" s="8">
        <v>20</v>
      </c>
      <c r="AB12" s="8">
        <v>20</v>
      </c>
      <c r="AC12" s="8">
        <v>20</v>
      </c>
      <c r="AD12" s="8">
        <v>20</v>
      </c>
      <c r="AE12" s="8">
        <v>20</v>
      </c>
      <c r="AF12" s="8">
        <v>20</v>
      </c>
      <c r="AH12" s="26"/>
      <c r="AI12" s="68"/>
      <c r="AT12" s="1"/>
      <c r="AU12" s="1"/>
      <c r="AV12" s="1"/>
      <c r="AY12" s="98"/>
      <c r="AZ12" s="98"/>
      <c r="BA12" s="98"/>
      <c r="BB12" s="99"/>
      <c r="BC12" s="19"/>
      <c r="BG12" s="2" t="s">
        <v>159</v>
      </c>
      <c r="BH12" s="8">
        <v>10</v>
      </c>
      <c r="BI12" s="8">
        <v>10</v>
      </c>
      <c r="BJ12" s="8">
        <v>10</v>
      </c>
    </row>
    <row r="13" spans="1:85" ht="14.25">
      <c r="V13" s="98" t="s">
        <v>11</v>
      </c>
      <c r="W13" s="8">
        <v>5</v>
      </c>
      <c r="X13" s="8">
        <v>5</v>
      </c>
      <c r="Y13" s="8">
        <v>5</v>
      </c>
      <c r="Z13" s="8">
        <v>5</v>
      </c>
      <c r="AA13" s="8">
        <v>5</v>
      </c>
      <c r="AB13" s="8">
        <v>5</v>
      </c>
      <c r="AC13" s="8">
        <v>5</v>
      </c>
      <c r="AD13" s="8">
        <v>5</v>
      </c>
      <c r="AE13" s="8">
        <v>5</v>
      </c>
      <c r="AF13" s="8">
        <v>5</v>
      </c>
      <c r="AH13" s="26"/>
      <c r="AI13" s="2" t="s">
        <v>115</v>
      </c>
      <c r="AT13" s="1"/>
      <c r="AU13" s="1"/>
      <c r="AV13" s="1"/>
      <c r="AY13" s="197" t="s">
        <v>257</v>
      </c>
      <c r="AZ13" s="197"/>
      <c r="BA13" s="197"/>
      <c r="BB13" s="204"/>
      <c r="BC13" s="59"/>
      <c r="BG13" s="2" t="s">
        <v>160</v>
      </c>
      <c r="BH13" s="8">
        <v>10</v>
      </c>
      <c r="BI13" s="8">
        <v>10</v>
      </c>
      <c r="BJ13" s="8">
        <v>10</v>
      </c>
      <c r="BL13" s="2" t="s">
        <v>242</v>
      </c>
      <c r="BS13" s="2" t="s">
        <v>12</v>
      </c>
    </row>
    <row r="14" spans="1:85" ht="14.25">
      <c r="H14" s="10" t="s">
        <v>148</v>
      </c>
      <c r="U14" s="2" t="s">
        <v>175</v>
      </c>
      <c r="AH14" s="26"/>
      <c r="AI14" s="42"/>
      <c r="AL14" s="12" t="s">
        <v>124</v>
      </c>
      <c r="AP14" s="12" t="s">
        <v>125</v>
      </c>
      <c r="AT14" s="1"/>
      <c r="AU14" s="1"/>
      <c r="AV14" s="1"/>
      <c r="AY14" s="98"/>
      <c r="AZ14" s="98"/>
      <c r="BA14" s="98"/>
      <c r="BB14" s="99" t="str">
        <f>"Quit time &lt; "&amp;BC10&amp;" months"</f>
        <v>Quit time &lt; 3 months</v>
      </c>
      <c r="BC14" s="8">
        <v>0.9</v>
      </c>
      <c r="BG14" s="2" t="s">
        <v>161</v>
      </c>
      <c r="BH14" s="8">
        <v>10</v>
      </c>
      <c r="BI14" s="8">
        <v>10</v>
      </c>
      <c r="BJ14" s="8">
        <v>10</v>
      </c>
      <c r="BM14" s="2" t="s">
        <v>243</v>
      </c>
      <c r="BN14" s="8">
        <v>10</v>
      </c>
    </row>
    <row r="15" spans="1:85" ht="14.25">
      <c r="I15" s="2" t="s">
        <v>10</v>
      </c>
      <c r="J15" s="70">
        <v>25</v>
      </c>
      <c r="K15" s="84" t="s">
        <v>149</v>
      </c>
      <c r="V15" s="98" t="s">
        <v>10</v>
      </c>
      <c r="W15" s="8">
        <v>20</v>
      </c>
      <c r="X15" s="8">
        <v>20</v>
      </c>
      <c r="Y15" s="8">
        <v>20</v>
      </c>
      <c r="Z15" s="8">
        <v>20</v>
      </c>
      <c r="AA15" s="8">
        <v>20</v>
      </c>
      <c r="AB15" s="8">
        <v>20</v>
      </c>
      <c r="AC15" s="8">
        <v>20</v>
      </c>
      <c r="AD15" s="8">
        <v>20</v>
      </c>
      <c r="AE15" s="8">
        <v>20</v>
      </c>
      <c r="AF15" s="8">
        <v>20</v>
      </c>
      <c r="AH15" s="26"/>
      <c r="AI15" s="42"/>
      <c r="AM15" s="2" t="s">
        <v>122</v>
      </c>
      <c r="AN15" s="2" t="s">
        <v>123</v>
      </c>
      <c r="AQ15" s="2" t="s">
        <v>122</v>
      </c>
      <c r="AR15" s="2" t="s">
        <v>123</v>
      </c>
      <c r="AT15" s="1"/>
      <c r="AU15" s="1"/>
      <c r="AV15" s="1"/>
      <c r="AY15" s="98"/>
      <c r="AZ15" s="98"/>
      <c r="BA15" s="98"/>
      <c r="BB15" s="99" t="str">
        <f>"Quit time ≥ "&amp;BC10&amp;", &lt; "&amp;BC11&amp;" months"</f>
        <v>Quit time ≥ 3, &lt; 6 months</v>
      </c>
      <c r="BC15" s="8">
        <v>0.5</v>
      </c>
      <c r="BG15" s="2" t="s">
        <v>162</v>
      </c>
      <c r="BH15" s="8">
        <v>10</v>
      </c>
      <c r="BI15" s="8">
        <v>10</v>
      </c>
      <c r="BJ15" s="8">
        <v>10</v>
      </c>
      <c r="BM15" s="2" t="s">
        <v>244</v>
      </c>
      <c r="BN15" s="8">
        <v>10</v>
      </c>
      <c r="BS15" s="2" t="s">
        <v>22</v>
      </c>
      <c r="BT15" s="2" t="s">
        <v>108</v>
      </c>
      <c r="BU15" s="2" t="s">
        <v>83</v>
      </c>
      <c r="BV15" s="2" t="s">
        <v>84</v>
      </c>
      <c r="BW15" s="2" t="s">
        <v>85</v>
      </c>
      <c r="BX15" s="2" t="s">
        <v>86</v>
      </c>
      <c r="BY15" s="2" t="s">
        <v>87</v>
      </c>
      <c r="BZ15" s="2" t="s">
        <v>88</v>
      </c>
      <c r="CA15" s="2" t="s">
        <v>89</v>
      </c>
      <c r="CB15" s="2" t="s">
        <v>90</v>
      </c>
      <c r="CC15" s="2" t="s">
        <v>91</v>
      </c>
      <c r="CD15" s="2" t="s">
        <v>92</v>
      </c>
      <c r="CE15" s="2" t="s">
        <v>93</v>
      </c>
      <c r="CF15" s="2" t="s">
        <v>94</v>
      </c>
      <c r="CG15" s="2" t="s">
        <v>95</v>
      </c>
    </row>
    <row r="16" spans="1:85" ht="14.25">
      <c r="I16" s="2" t="s">
        <v>11</v>
      </c>
      <c r="J16" s="70">
        <v>17</v>
      </c>
      <c r="K16" s="198" t="s">
        <v>150</v>
      </c>
      <c r="L16" s="197"/>
      <c r="M16" s="197"/>
      <c r="N16" s="199"/>
      <c r="O16" s="81">
        <v>1</v>
      </c>
      <c r="P16" s="85" t="s">
        <v>151</v>
      </c>
      <c r="V16" s="98" t="s">
        <v>11</v>
      </c>
      <c r="W16" s="8">
        <v>5</v>
      </c>
      <c r="X16" s="8">
        <v>5</v>
      </c>
      <c r="Y16" s="8">
        <v>5</v>
      </c>
      <c r="Z16" s="8">
        <v>5</v>
      </c>
      <c r="AA16" s="8">
        <v>5</v>
      </c>
      <c r="AB16" s="8">
        <v>5</v>
      </c>
      <c r="AC16" s="8">
        <v>5</v>
      </c>
      <c r="AD16" s="8">
        <v>5</v>
      </c>
      <c r="AE16" s="8">
        <v>5</v>
      </c>
      <c r="AF16" s="8">
        <v>5</v>
      </c>
      <c r="AH16" s="26"/>
      <c r="AI16" s="42"/>
      <c r="AL16" s="2" t="s">
        <v>116</v>
      </c>
      <c r="AM16" s="8">
        <v>0.01</v>
      </c>
      <c r="AN16" s="8">
        <v>0.01</v>
      </c>
      <c r="AP16" s="2" t="s">
        <v>116</v>
      </c>
      <c r="AQ16" s="8">
        <v>0.01</v>
      </c>
      <c r="AR16" s="8">
        <v>0.01</v>
      </c>
      <c r="AT16" s="1"/>
      <c r="AU16" s="1"/>
      <c r="AV16" s="1"/>
      <c r="AY16" s="98"/>
      <c r="AZ16" s="98"/>
      <c r="BA16" s="98"/>
      <c r="BB16" s="99" t="str">
        <f>"Quit time ≥ "&amp;BC11&amp;" months"</f>
        <v>Quit time ≥ 6 months</v>
      </c>
      <c r="BC16" s="8">
        <v>0.3</v>
      </c>
      <c r="BS16" s="2" t="str">
        <f>Events!B14</f>
        <v>LungCancer</v>
      </c>
      <c r="BT16" s="8">
        <v>0.2</v>
      </c>
      <c r="BU16" s="8">
        <v>0.3</v>
      </c>
      <c r="BV16" s="8">
        <v>0.4</v>
      </c>
      <c r="BW16" s="8">
        <v>0.5</v>
      </c>
      <c r="BX16" s="8">
        <v>0.7</v>
      </c>
      <c r="BY16" s="8">
        <v>0.9</v>
      </c>
      <c r="BZ16" s="8">
        <v>0.9</v>
      </c>
      <c r="CA16" s="8">
        <v>0.9</v>
      </c>
      <c r="CB16" s="8">
        <v>0.9</v>
      </c>
      <c r="CC16" s="8">
        <v>0.9</v>
      </c>
      <c r="CD16" s="8">
        <v>0.9</v>
      </c>
      <c r="CE16" s="8">
        <v>0.9</v>
      </c>
      <c r="CF16" s="8">
        <v>0.9</v>
      </c>
      <c r="CG16" s="8">
        <v>0.9</v>
      </c>
    </row>
    <row r="17" spans="8:85" ht="14.25">
      <c r="V17" s="98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H17" s="26"/>
      <c r="AL17" s="2" t="s">
        <v>117</v>
      </c>
      <c r="AM17" s="8">
        <v>0.01</v>
      </c>
      <c r="AN17" s="8">
        <v>0.01</v>
      </c>
      <c r="AP17" s="2" t="s">
        <v>117</v>
      </c>
      <c r="AQ17" s="8">
        <v>0.01</v>
      </c>
      <c r="AR17" s="8">
        <v>0.01</v>
      </c>
      <c r="AT17" s="1"/>
      <c r="AU17" s="1"/>
      <c r="AV17" s="1"/>
      <c r="AY17" s="98"/>
      <c r="AZ17" s="98"/>
      <c r="BA17" s="98"/>
      <c r="BB17" s="99"/>
      <c r="BC17" s="59"/>
      <c r="BF17" s="2" t="s">
        <v>226</v>
      </c>
      <c r="BH17" s="2" t="s">
        <v>219</v>
      </c>
      <c r="BI17" s="2" t="s">
        <v>61</v>
      </c>
      <c r="BJ17" s="2" t="s">
        <v>246</v>
      </c>
      <c r="BL17" s="2" t="s">
        <v>245</v>
      </c>
      <c r="BN17" s="8">
        <v>10</v>
      </c>
      <c r="BS17" s="2" t="str">
        <f>Events!B15</f>
        <v>COPD</v>
      </c>
      <c r="BT17" s="8">
        <v>0.2</v>
      </c>
      <c r="BU17" s="8">
        <v>0.3</v>
      </c>
      <c r="BV17" s="8">
        <v>0.4</v>
      </c>
      <c r="BW17" s="8">
        <v>0.5</v>
      </c>
      <c r="BX17" s="8">
        <v>0.7</v>
      </c>
      <c r="BY17" s="8">
        <v>0.9</v>
      </c>
      <c r="BZ17" s="8">
        <v>0.9</v>
      </c>
      <c r="CA17" s="8">
        <v>0.9</v>
      </c>
      <c r="CB17" s="8">
        <v>0.9</v>
      </c>
      <c r="CC17" s="8">
        <v>0.9</v>
      </c>
      <c r="CD17" s="8">
        <v>0.9</v>
      </c>
      <c r="CE17" s="8">
        <v>0.9</v>
      </c>
      <c r="CF17" s="8">
        <v>0.9</v>
      </c>
      <c r="CG17" s="8">
        <v>0.9</v>
      </c>
    </row>
    <row r="18" spans="8:85" ht="14.25">
      <c r="H18" s="12" t="s">
        <v>127</v>
      </c>
      <c r="U18" s="2" t="s">
        <v>173</v>
      </c>
      <c r="V18" s="98"/>
      <c r="W18" s="8">
        <v>1</v>
      </c>
      <c r="X18" s="8">
        <v>1</v>
      </c>
      <c r="Y18" s="8">
        <v>1</v>
      </c>
      <c r="Z18" s="8">
        <v>1</v>
      </c>
      <c r="AA18" s="8">
        <v>1</v>
      </c>
      <c r="AB18" s="8">
        <v>1</v>
      </c>
      <c r="AC18" s="8">
        <v>1</v>
      </c>
      <c r="AD18" s="8">
        <v>1</v>
      </c>
      <c r="AE18" s="8">
        <v>1</v>
      </c>
      <c r="AF18" s="8">
        <v>1</v>
      </c>
      <c r="AH18" s="26"/>
      <c r="AL18" s="2" t="s">
        <v>118</v>
      </c>
      <c r="AM18" s="8">
        <v>0.01</v>
      </c>
      <c r="AN18" s="8">
        <v>0.01</v>
      </c>
      <c r="AP18" s="2" t="s">
        <v>118</v>
      </c>
      <c r="AQ18" s="8">
        <v>0.01</v>
      </c>
      <c r="AR18" s="8">
        <v>0.01</v>
      </c>
      <c r="AT18" s="1"/>
      <c r="AU18" s="1"/>
      <c r="AV18" s="1"/>
      <c r="AY18" s="197" t="s">
        <v>239</v>
      </c>
      <c r="AZ18" s="197"/>
      <c r="BA18" s="197"/>
      <c r="BB18" s="199"/>
      <c r="BC18" s="8">
        <v>1</v>
      </c>
      <c r="BG18" s="2" t="s">
        <v>178</v>
      </c>
      <c r="BH18" s="8">
        <v>10</v>
      </c>
      <c r="BI18" s="8">
        <v>10</v>
      </c>
      <c r="BJ18" s="8">
        <v>10</v>
      </c>
      <c r="BS18" s="2" t="str">
        <f>Events!B16</f>
        <v>MI</v>
      </c>
      <c r="BT18" s="8">
        <v>0.2</v>
      </c>
      <c r="BU18" s="8">
        <v>0.3</v>
      </c>
      <c r="BV18" s="8">
        <v>0.4</v>
      </c>
      <c r="BW18" s="8">
        <v>0.5</v>
      </c>
      <c r="BX18" s="8">
        <v>0.7</v>
      </c>
      <c r="BY18" s="8">
        <v>0.9</v>
      </c>
      <c r="BZ18" s="8">
        <v>0.9</v>
      </c>
      <c r="CA18" s="8">
        <v>0.9</v>
      </c>
      <c r="CB18" s="8">
        <v>0.9</v>
      </c>
      <c r="CC18" s="8">
        <v>0.9</v>
      </c>
      <c r="CD18" s="8">
        <v>0.9</v>
      </c>
      <c r="CE18" s="8">
        <v>0.9</v>
      </c>
      <c r="CF18" s="8">
        <v>0.9</v>
      </c>
      <c r="CG18" s="8">
        <v>0.9</v>
      </c>
    </row>
    <row r="19" spans="8:85" ht="14.25">
      <c r="J19" s="24" t="s">
        <v>128</v>
      </c>
      <c r="K19" s="24" t="s">
        <v>129</v>
      </c>
      <c r="L19" s="24" t="s">
        <v>130</v>
      </c>
      <c r="M19" s="24" t="s">
        <v>131</v>
      </c>
      <c r="N19" s="24" t="s">
        <v>132</v>
      </c>
      <c r="O19" s="24" t="s">
        <v>133</v>
      </c>
      <c r="P19" s="24" t="s">
        <v>134</v>
      </c>
      <c r="V19" s="98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H19" s="26"/>
      <c r="AL19" s="2" t="s">
        <v>119</v>
      </c>
      <c r="AM19" s="8">
        <v>0.01</v>
      </c>
      <c r="AN19" s="8">
        <v>0.01</v>
      </c>
      <c r="AP19" s="2" t="s">
        <v>119</v>
      </c>
      <c r="AQ19" s="8">
        <v>0.01</v>
      </c>
      <c r="AR19" s="8">
        <v>0.01</v>
      </c>
      <c r="AT19" s="1"/>
      <c r="AU19" s="1"/>
      <c r="AV19" s="1"/>
      <c r="BG19" s="2" t="s">
        <v>179</v>
      </c>
      <c r="BH19" s="8">
        <v>10</v>
      </c>
      <c r="BI19" s="8">
        <v>10</v>
      </c>
      <c r="BJ19" s="8">
        <v>10</v>
      </c>
      <c r="BS19" s="2" t="str">
        <f>Events!B17</f>
        <v>Stroke</v>
      </c>
      <c r="BT19" s="8">
        <v>0.2</v>
      </c>
      <c r="BU19" s="8">
        <v>0.3</v>
      </c>
      <c r="BV19" s="8">
        <v>0.4</v>
      </c>
      <c r="BW19" s="8">
        <v>0.5</v>
      </c>
      <c r="BX19" s="8">
        <v>0.7</v>
      </c>
      <c r="BY19" s="8">
        <v>0.9</v>
      </c>
      <c r="BZ19" s="8">
        <v>0.9</v>
      </c>
      <c r="CA19" s="8">
        <v>0.9</v>
      </c>
      <c r="CB19" s="8">
        <v>0.9</v>
      </c>
      <c r="CC19" s="8">
        <v>0.9</v>
      </c>
      <c r="CD19" s="8">
        <v>0.9</v>
      </c>
      <c r="CE19" s="8">
        <v>0.9</v>
      </c>
      <c r="CF19" s="8">
        <v>0.9</v>
      </c>
      <c r="CG19" s="8">
        <v>0.9</v>
      </c>
    </row>
    <row r="20" spans="8:85" ht="15" customHeight="1">
      <c r="H20" s="200" t="s">
        <v>116</v>
      </c>
      <c r="I20" s="69" t="s">
        <v>10</v>
      </c>
      <c r="J20" s="70">
        <v>6.375</v>
      </c>
      <c r="K20" s="70">
        <v>6.375</v>
      </c>
      <c r="L20" s="70">
        <v>5.4</v>
      </c>
      <c r="M20" s="70">
        <v>4.5999999999999996</v>
      </c>
      <c r="N20" s="70">
        <v>3.7333333333333298</v>
      </c>
      <c r="O20" s="70">
        <v>3.0249999999999999</v>
      </c>
      <c r="P20" s="70">
        <v>3.0249999999999999</v>
      </c>
      <c r="U20" s="2" t="s">
        <v>169</v>
      </c>
      <c r="V20" s="98"/>
      <c r="W20" s="8">
        <v>0.8</v>
      </c>
      <c r="X20" s="8">
        <v>0.8</v>
      </c>
      <c r="Y20" s="8">
        <v>0.8</v>
      </c>
      <c r="Z20" s="8">
        <v>0.8</v>
      </c>
      <c r="AA20" s="8">
        <v>0.8</v>
      </c>
      <c r="AB20" s="8">
        <v>0.8</v>
      </c>
      <c r="AC20" s="8">
        <v>0.8</v>
      </c>
      <c r="AD20" s="8">
        <v>0.8</v>
      </c>
      <c r="AE20" s="8">
        <v>0.8</v>
      </c>
      <c r="AF20" s="8">
        <v>0.8</v>
      </c>
      <c r="AH20" s="26"/>
      <c r="AL20" s="2" t="s">
        <v>120</v>
      </c>
      <c r="AM20" s="8">
        <v>0.01</v>
      </c>
      <c r="AN20" s="8">
        <v>0.01</v>
      </c>
      <c r="AP20" s="2" t="s">
        <v>120</v>
      </c>
      <c r="AQ20" s="8">
        <v>0.01</v>
      </c>
      <c r="AR20" s="8">
        <v>0.01</v>
      </c>
      <c r="AT20" s="1"/>
      <c r="AU20" s="1"/>
      <c r="AV20" s="1"/>
      <c r="AY20" s="197" t="s">
        <v>240</v>
      </c>
      <c r="AZ20" s="197"/>
      <c r="BA20" s="197"/>
      <c r="BB20" s="197"/>
      <c r="BC20" s="8">
        <v>0.7</v>
      </c>
      <c r="BG20" s="2" t="s">
        <v>180</v>
      </c>
      <c r="BH20" s="8">
        <v>10</v>
      </c>
      <c r="BI20" s="8">
        <v>10</v>
      </c>
      <c r="BJ20" s="8">
        <v>10</v>
      </c>
      <c r="BS20" s="2" t="str">
        <f>Events!B18</f>
        <v>OthEvent</v>
      </c>
      <c r="BT20" s="8">
        <v>0.2</v>
      </c>
      <c r="BU20" s="8">
        <v>0.3</v>
      </c>
      <c r="BV20" s="8">
        <v>0.4</v>
      </c>
      <c r="BW20" s="8">
        <v>0.5</v>
      </c>
      <c r="BX20" s="8">
        <v>0.7</v>
      </c>
      <c r="BY20" s="8">
        <v>0.9</v>
      </c>
      <c r="BZ20" s="8">
        <v>0.9</v>
      </c>
      <c r="CA20" s="8">
        <v>0.9</v>
      </c>
      <c r="CB20" s="8">
        <v>0.9</v>
      </c>
      <c r="CC20" s="8">
        <v>0.9</v>
      </c>
      <c r="CD20" s="8">
        <v>0.9</v>
      </c>
      <c r="CE20" s="8">
        <v>0.9</v>
      </c>
      <c r="CF20" s="8">
        <v>0.9</v>
      </c>
      <c r="CG20" s="8">
        <v>0.9</v>
      </c>
    </row>
    <row r="21" spans="8:85" ht="15" thickBot="1">
      <c r="H21" s="200"/>
      <c r="I21" s="86" t="s">
        <v>11</v>
      </c>
      <c r="J21" s="70">
        <v>0.255102</v>
      </c>
      <c r="K21" s="70">
        <v>0.255102</v>
      </c>
      <c r="L21" s="70">
        <v>0.22108800000000001</v>
      </c>
      <c r="M21" s="70">
        <v>0.191327</v>
      </c>
      <c r="N21" s="70">
        <v>0.24232999999999999</v>
      </c>
      <c r="O21" s="70">
        <v>0.25085000000000002</v>
      </c>
      <c r="P21" s="70">
        <v>0.25085000000000002</v>
      </c>
      <c r="U21" s="2" t="s">
        <v>171</v>
      </c>
      <c r="V21" s="98"/>
      <c r="W21" s="8">
        <v>6</v>
      </c>
      <c r="X21" s="8">
        <v>6</v>
      </c>
      <c r="Y21" s="8">
        <v>6</v>
      </c>
      <c r="Z21" s="8">
        <v>6</v>
      </c>
      <c r="AA21" s="8">
        <v>6</v>
      </c>
      <c r="AB21" s="8">
        <v>6</v>
      </c>
      <c r="AC21" s="8">
        <v>6</v>
      </c>
      <c r="AD21" s="8">
        <v>6</v>
      </c>
      <c r="AE21" s="8">
        <v>6</v>
      </c>
      <c r="AF21" s="8">
        <v>6</v>
      </c>
      <c r="AH21" s="26"/>
      <c r="AL21" s="2" t="s">
        <v>121</v>
      </c>
      <c r="AM21" s="8">
        <v>0.01</v>
      </c>
      <c r="AN21" s="8">
        <v>0.01</v>
      </c>
      <c r="AP21" s="2" t="s">
        <v>121</v>
      </c>
      <c r="AQ21" s="8">
        <v>0.01</v>
      </c>
      <c r="AR21" s="8">
        <v>0.01</v>
      </c>
      <c r="AT21" s="1"/>
      <c r="AU21" s="1"/>
      <c r="AV21" s="1"/>
      <c r="AY21" s="205" t="s">
        <v>241</v>
      </c>
      <c r="AZ21" s="205"/>
      <c r="BA21" s="205"/>
      <c r="BB21" s="205"/>
      <c r="BC21" s="8">
        <v>0.8</v>
      </c>
      <c r="BG21" s="2" t="s">
        <v>181</v>
      </c>
      <c r="BH21" s="8">
        <v>10</v>
      </c>
      <c r="BI21" s="8">
        <v>10</v>
      </c>
      <c r="BJ21" s="8">
        <v>10</v>
      </c>
    </row>
    <row r="22" spans="8:85" ht="14.25">
      <c r="H22" s="200" t="s">
        <v>117</v>
      </c>
      <c r="I22" s="71" t="s">
        <v>10</v>
      </c>
      <c r="J22" s="70">
        <v>6.375</v>
      </c>
      <c r="K22" s="70">
        <v>6.375</v>
      </c>
      <c r="L22" s="70">
        <v>5.4</v>
      </c>
      <c r="M22" s="70">
        <v>4.5999999999999996</v>
      </c>
      <c r="N22" s="70">
        <v>3.7333333333333298</v>
      </c>
      <c r="O22" s="70">
        <v>3.0249999999999999</v>
      </c>
      <c r="P22" s="70">
        <v>3.0249999999999999</v>
      </c>
      <c r="U22" s="2" t="s">
        <v>170</v>
      </c>
      <c r="V22" s="98"/>
      <c r="W22" s="8">
        <v>3.0000000000000001E-3</v>
      </c>
      <c r="X22" s="8">
        <v>3.0000000000000001E-3</v>
      </c>
      <c r="Y22" s="8">
        <v>3.0000000000000001E-3</v>
      </c>
      <c r="Z22" s="8">
        <v>3.0000000000000001E-3</v>
      </c>
      <c r="AA22" s="8">
        <v>3.0000000000000001E-3</v>
      </c>
      <c r="AB22" s="8">
        <v>3.0000000000000001E-3</v>
      </c>
      <c r="AC22" s="8">
        <v>3.0000000000000001E-3</v>
      </c>
      <c r="AD22" s="8">
        <v>3.0000000000000001E-3</v>
      </c>
      <c r="AE22" s="8">
        <v>3.0000000000000001E-3</v>
      </c>
      <c r="AF22" s="8">
        <v>3.0000000000000001E-3</v>
      </c>
      <c r="AH22" s="26"/>
      <c r="AT22" s="1"/>
      <c r="AU22" s="1"/>
      <c r="AV22" s="1"/>
      <c r="BG22" s="2" t="s">
        <v>182</v>
      </c>
      <c r="BH22" s="8">
        <v>10</v>
      </c>
      <c r="BI22" s="8">
        <v>10</v>
      </c>
      <c r="BJ22" s="8">
        <v>10</v>
      </c>
      <c r="BR22" s="2" t="s">
        <v>249</v>
      </c>
    </row>
    <row r="23" spans="8:85" ht="15" thickBot="1">
      <c r="H23" s="200"/>
      <c r="I23" s="86" t="s">
        <v>11</v>
      </c>
      <c r="J23" s="70">
        <v>0.255102</v>
      </c>
      <c r="K23" s="70">
        <v>0.255102</v>
      </c>
      <c r="L23" s="70">
        <v>0.22108800000000001</v>
      </c>
      <c r="M23" s="70">
        <v>0.191327</v>
      </c>
      <c r="N23" s="70">
        <v>0.24232999999999999</v>
      </c>
      <c r="O23" s="70">
        <v>0.25085000000000002</v>
      </c>
      <c r="P23" s="70">
        <v>0.25085000000000002</v>
      </c>
      <c r="V23" s="98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H23" s="26"/>
      <c r="AK23" s="2" t="s">
        <v>268</v>
      </c>
      <c r="AT23" s="1"/>
      <c r="AU23" s="1"/>
      <c r="AV23" s="1"/>
      <c r="BG23" s="2" t="s">
        <v>183</v>
      </c>
      <c r="BH23" s="8">
        <v>10</v>
      </c>
      <c r="BI23" s="8">
        <v>10</v>
      </c>
      <c r="BJ23" s="8">
        <v>10</v>
      </c>
      <c r="BS23" s="2" t="s">
        <v>13</v>
      </c>
    </row>
    <row r="24" spans="8:85" ht="14.25">
      <c r="H24" s="200" t="s">
        <v>118</v>
      </c>
      <c r="I24" s="71" t="s">
        <v>10</v>
      </c>
      <c r="J24" s="70">
        <v>6.375</v>
      </c>
      <c r="K24" s="70">
        <v>6.375</v>
      </c>
      <c r="L24" s="70">
        <v>5.4</v>
      </c>
      <c r="M24" s="70">
        <v>4.5999999999999996</v>
      </c>
      <c r="N24" s="70">
        <v>3.7333333333333298</v>
      </c>
      <c r="O24" s="70">
        <v>3.0249999999999999</v>
      </c>
      <c r="P24" s="70">
        <v>3.0249999999999999</v>
      </c>
      <c r="U24" s="2" t="s">
        <v>166</v>
      </c>
      <c r="W24" s="8">
        <v>0.01</v>
      </c>
      <c r="X24" s="8">
        <v>0.01</v>
      </c>
      <c r="Y24" s="8">
        <v>0.01</v>
      </c>
      <c r="Z24" s="8">
        <v>0.01</v>
      </c>
      <c r="AA24" s="8">
        <v>0.01</v>
      </c>
      <c r="AB24" s="8">
        <v>0.01</v>
      </c>
      <c r="AC24" s="8">
        <v>0.01</v>
      </c>
      <c r="AD24" s="8">
        <v>0.01</v>
      </c>
      <c r="AE24" s="8">
        <v>0.01</v>
      </c>
      <c r="AF24" s="8">
        <v>0.01</v>
      </c>
      <c r="AH24" s="26"/>
      <c r="AL24" s="103" t="s">
        <v>231</v>
      </c>
      <c r="AM24" s="8">
        <v>3</v>
      </c>
      <c r="AN24" s="103" t="s">
        <v>232</v>
      </c>
      <c r="AO24" s="8">
        <v>6</v>
      </c>
      <c r="AT24" s="1"/>
      <c r="AU24" s="1"/>
      <c r="AV24" s="1"/>
      <c r="BG24" s="2" t="s">
        <v>184</v>
      </c>
      <c r="BH24" s="8">
        <v>10</v>
      </c>
      <c r="BI24" s="8">
        <v>10</v>
      </c>
      <c r="BJ24" s="8">
        <v>10</v>
      </c>
    </row>
    <row r="25" spans="8:85" ht="15" thickBot="1">
      <c r="H25" s="200"/>
      <c r="I25" s="86" t="s">
        <v>11</v>
      </c>
      <c r="J25" s="70">
        <v>0.255102</v>
      </c>
      <c r="K25" s="70">
        <v>0.255102</v>
      </c>
      <c r="L25" s="70">
        <v>0.22108800000000001</v>
      </c>
      <c r="M25" s="70">
        <v>0.191327</v>
      </c>
      <c r="N25" s="70">
        <v>0.24232999999999999</v>
      </c>
      <c r="O25" s="70">
        <v>0.25085000000000002</v>
      </c>
      <c r="P25" s="70">
        <v>0.25085000000000002</v>
      </c>
      <c r="U25" s="2" t="s">
        <v>167</v>
      </c>
      <c r="W25" s="8">
        <v>3</v>
      </c>
      <c r="X25" s="8">
        <v>3</v>
      </c>
      <c r="Y25" s="8">
        <v>3</v>
      </c>
      <c r="Z25" s="8">
        <v>3</v>
      </c>
      <c r="AA25" s="8">
        <v>3</v>
      </c>
      <c r="AB25" s="8">
        <v>3</v>
      </c>
      <c r="AC25" s="8">
        <v>3</v>
      </c>
      <c r="AD25" s="8">
        <v>3</v>
      </c>
      <c r="AE25" s="8">
        <v>3</v>
      </c>
      <c r="AF25" s="8">
        <v>3</v>
      </c>
      <c r="AH25" s="26"/>
      <c r="AL25" s="103"/>
      <c r="AM25" s="19"/>
      <c r="AN25" s="103"/>
      <c r="AO25" s="19"/>
      <c r="AT25" s="1"/>
      <c r="AU25" s="1"/>
      <c r="AV25" s="1"/>
      <c r="BG25" s="2" t="s">
        <v>185</v>
      </c>
      <c r="BH25" s="8">
        <v>10</v>
      </c>
      <c r="BI25" s="8">
        <v>10</v>
      </c>
      <c r="BJ25" s="8">
        <v>10</v>
      </c>
      <c r="BS25" s="2" t="s">
        <v>22</v>
      </c>
      <c r="BT25" s="2" t="s">
        <v>108</v>
      </c>
      <c r="BU25" s="2" t="s">
        <v>83</v>
      </c>
      <c r="BV25" s="2" t="s">
        <v>84</v>
      </c>
      <c r="BW25" s="2" t="s">
        <v>85</v>
      </c>
      <c r="BX25" s="2" t="s">
        <v>86</v>
      </c>
      <c r="BY25" s="2" t="s">
        <v>87</v>
      </c>
      <c r="BZ25" s="2" t="s">
        <v>88</v>
      </c>
      <c r="CA25" s="2" t="s">
        <v>89</v>
      </c>
      <c r="CB25" s="2" t="s">
        <v>90</v>
      </c>
      <c r="CC25" s="2" t="s">
        <v>91</v>
      </c>
      <c r="CD25" s="2" t="s">
        <v>92</v>
      </c>
      <c r="CE25" s="2" t="s">
        <v>93</v>
      </c>
      <c r="CF25" s="2" t="s">
        <v>94</v>
      </c>
      <c r="CG25" s="2" t="s">
        <v>95</v>
      </c>
    </row>
    <row r="26" spans="8:85" ht="14.25">
      <c r="H26" s="200" t="s">
        <v>119</v>
      </c>
      <c r="I26" s="71" t="s">
        <v>10</v>
      </c>
      <c r="J26" s="70">
        <v>6.375</v>
      </c>
      <c r="K26" s="70">
        <v>6.375</v>
      </c>
      <c r="L26" s="70">
        <v>5.4</v>
      </c>
      <c r="M26" s="70">
        <v>4.5999999999999996</v>
      </c>
      <c r="N26" s="70">
        <v>3.7333333333333298</v>
      </c>
      <c r="O26" s="70">
        <v>3.0249999999999999</v>
      </c>
      <c r="P26" s="70">
        <v>3.0249999999999999</v>
      </c>
      <c r="U26" s="2" t="s">
        <v>168</v>
      </c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>
        <v>1</v>
      </c>
      <c r="AF26" s="8">
        <v>1</v>
      </c>
      <c r="AH26" s="26"/>
      <c r="AL26" s="2" t="s">
        <v>116</v>
      </c>
      <c r="AM26" s="2" t="s">
        <v>117</v>
      </c>
      <c r="AN26" s="2" t="s">
        <v>118</v>
      </c>
      <c r="AO26" s="2" t="s">
        <v>119</v>
      </c>
      <c r="AP26" s="2" t="s">
        <v>120</v>
      </c>
      <c r="AQ26" s="2" t="s">
        <v>121</v>
      </c>
      <c r="AT26" s="1"/>
      <c r="AU26" s="1"/>
      <c r="AV26" s="1"/>
      <c r="BG26" s="2" t="s">
        <v>186</v>
      </c>
      <c r="BH26" s="8">
        <v>10</v>
      </c>
      <c r="BI26" s="8">
        <v>10</v>
      </c>
      <c r="BJ26" s="8">
        <v>10</v>
      </c>
      <c r="BS26" s="2" t="str">
        <f>BS7</f>
        <v>LungCancer</v>
      </c>
      <c r="BT26" s="8">
        <v>0.2</v>
      </c>
      <c r="BU26" s="8">
        <v>0.3</v>
      </c>
      <c r="BV26" s="8">
        <v>0.4</v>
      </c>
      <c r="BW26" s="8">
        <v>0.5</v>
      </c>
      <c r="BX26" s="8">
        <v>0.7</v>
      </c>
      <c r="BY26" s="8">
        <v>0.9</v>
      </c>
      <c r="BZ26" s="8">
        <v>0.9</v>
      </c>
      <c r="CA26" s="8">
        <v>0.9</v>
      </c>
      <c r="CB26" s="8">
        <v>0.9</v>
      </c>
      <c r="CC26" s="8">
        <v>0.9</v>
      </c>
      <c r="CD26" s="8">
        <v>0.9</v>
      </c>
      <c r="CE26" s="8">
        <v>0.9</v>
      </c>
      <c r="CF26" s="8">
        <v>0.9</v>
      </c>
      <c r="CG26" s="8">
        <v>0.9</v>
      </c>
    </row>
    <row r="27" spans="8:85" ht="15" thickBot="1">
      <c r="H27" s="200"/>
      <c r="I27" s="86" t="s">
        <v>11</v>
      </c>
      <c r="J27" s="70">
        <v>0.255102</v>
      </c>
      <c r="K27" s="70">
        <v>0.255102</v>
      </c>
      <c r="L27" s="70">
        <v>0.22108800000000001</v>
      </c>
      <c r="M27" s="70">
        <v>0.191327</v>
      </c>
      <c r="N27" s="70">
        <v>0.24232999999999999</v>
      </c>
      <c r="O27" s="70">
        <v>0.25085000000000002</v>
      </c>
      <c r="P27" s="70">
        <v>0.25085000000000002</v>
      </c>
      <c r="U27" s="2" t="s">
        <v>172</v>
      </c>
      <c r="W27" s="8">
        <v>0.1</v>
      </c>
      <c r="X27" s="8">
        <v>0.1</v>
      </c>
      <c r="Y27" s="8">
        <v>0.1</v>
      </c>
      <c r="Z27" s="8">
        <v>0.1</v>
      </c>
      <c r="AA27" s="8">
        <v>0.1</v>
      </c>
      <c r="AB27" s="8">
        <v>0.1</v>
      </c>
      <c r="AC27" s="8">
        <v>0.1</v>
      </c>
      <c r="AD27" s="8">
        <v>0.1</v>
      </c>
      <c r="AE27" s="8">
        <v>0.1</v>
      </c>
      <c r="AF27" s="8">
        <v>0.1</v>
      </c>
      <c r="AH27" s="26"/>
      <c r="AK27" s="2" t="s">
        <v>269</v>
      </c>
      <c r="AL27" s="8">
        <v>1.6</v>
      </c>
      <c r="AM27" s="8">
        <v>1.6</v>
      </c>
      <c r="AN27" s="8">
        <v>1.6</v>
      </c>
      <c r="AO27" s="8">
        <v>1.6</v>
      </c>
      <c r="AP27" s="8">
        <v>1.6</v>
      </c>
      <c r="AQ27" s="8">
        <v>1.6</v>
      </c>
      <c r="AT27" s="1"/>
      <c r="AU27" s="1"/>
      <c r="AV27" s="1"/>
      <c r="BG27" s="2" t="s">
        <v>187</v>
      </c>
      <c r="BH27" s="8">
        <v>10</v>
      </c>
      <c r="BI27" s="8">
        <v>10</v>
      </c>
      <c r="BJ27" s="8">
        <v>10</v>
      </c>
      <c r="BS27" s="2" t="str">
        <f>BS8</f>
        <v>COPD</v>
      </c>
      <c r="BT27" s="8">
        <v>0.2</v>
      </c>
      <c r="BU27" s="8">
        <v>0.3</v>
      </c>
      <c r="BV27" s="8">
        <v>0.4</v>
      </c>
      <c r="BW27" s="8">
        <v>0.5</v>
      </c>
      <c r="BX27" s="8">
        <v>0.7</v>
      </c>
      <c r="BY27" s="8">
        <v>0.9</v>
      </c>
      <c r="BZ27" s="8">
        <v>0.9</v>
      </c>
      <c r="CA27" s="8">
        <v>0.9</v>
      </c>
      <c r="CB27" s="8">
        <v>0.9</v>
      </c>
      <c r="CC27" s="8">
        <v>0.9</v>
      </c>
      <c r="CD27" s="8">
        <v>0.9</v>
      </c>
      <c r="CE27" s="8">
        <v>0.9</v>
      </c>
      <c r="CF27" s="8">
        <v>0.9</v>
      </c>
      <c r="CG27" s="8">
        <v>0.9</v>
      </c>
    </row>
    <row r="28" spans="8:85" ht="14.25">
      <c r="H28" s="200" t="s">
        <v>120</v>
      </c>
      <c r="I28" s="71" t="s">
        <v>10</v>
      </c>
      <c r="J28" s="70">
        <v>6.375</v>
      </c>
      <c r="K28" s="70">
        <v>6.375</v>
      </c>
      <c r="L28" s="70">
        <v>5.4</v>
      </c>
      <c r="M28" s="70">
        <v>4.5999999999999996</v>
      </c>
      <c r="N28" s="70">
        <v>3.7333333333333298</v>
      </c>
      <c r="O28" s="70">
        <v>3.0249999999999999</v>
      </c>
      <c r="P28" s="70">
        <v>3.0249999999999999</v>
      </c>
      <c r="AH28" s="26"/>
      <c r="AK28" s="2" t="str">
        <f>"Former smoker, &lt;"&amp;AM24&amp;" months"</f>
        <v>Former smoker, &lt;3 months</v>
      </c>
      <c r="AL28" s="8">
        <v>1.5</v>
      </c>
      <c r="AM28" s="8">
        <v>1.5</v>
      </c>
      <c r="AN28" s="8">
        <v>1.5</v>
      </c>
      <c r="AO28" s="8">
        <v>1.5</v>
      </c>
      <c r="AP28" s="8">
        <v>1.5</v>
      </c>
      <c r="AQ28" s="8">
        <v>1.5</v>
      </c>
      <c r="AT28" s="1"/>
      <c r="AU28" s="1"/>
      <c r="AV28" s="1"/>
      <c r="BS28" s="2" t="str">
        <f>BS9</f>
        <v>MI</v>
      </c>
      <c r="BT28" s="8">
        <v>0.2</v>
      </c>
      <c r="BU28" s="8">
        <v>0.3</v>
      </c>
      <c r="BV28" s="8">
        <v>0.4</v>
      </c>
      <c r="BW28" s="8">
        <v>0.5</v>
      </c>
      <c r="BX28" s="8">
        <v>0.7</v>
      </c>
      <c r="BY28" s="8">
        <v>0.9</v>
      </c>
      <c r="BZ28" s="8">
        <v>0.9</v>
      </c>
      <c r="CA28" s="8">
        <v>0.9</v>
      </c>
      <c r="CB28" s="8">
        <v>0.9</v>
      </c>
      <c r="CC28" s="8">
        <v>0.9</v>
      </c>
      <c r="CD28" s="8">
        <v>0.9</v>
      </c>
      <c r="CE28" s="8">
        <v>0.9</v>
      </c>
      <c r="CF28" s="8">
        <v>0.9</v>
      </c>
      <c r="CG28" s="8">
        <v>0.9</v>
      </c>
    </row>
    <row r="29" spans="8:85" ht="15" thickBot="1">
      <c r="H29" s="200"/>
      <c r="I29" s="86" t="s">
        <v>11</v>
      </c>
      <c r="J29" s="70">
        <v>0.255102</v>
      </c>
      <c r="K29" s="70">
        <v>0.255102</v>
      </c>
      <c r="L29" s="70">
        <v>0.22108800000000001</v>
      </c>
      <c r="M29" s="70">
        <v>0.191327</v>
      </c>
      <c r="N29" s="70">
        <v>0.24232999999999999</v>
      </c>
      <c r="O29" s="70">
        <v>0.25085000000000002</v>
      </c>
      <c r="P29" s="70">
        <v>0.25085000000000002</v>
      </c>
      <c r="U29" s="2" t="s">
        <v>188</v>
      </c>
      <c r="AH29" s="26"/>
      <c r="AK29" s="2" t="str">
        <f>"Former smoker, ≥"&amp;AM24&amp;", &lt;"&amp;AO24&amp;" months"</f>
        <v>Former smoker, ≥3, &lt;6 months</v>
      </c>
      <c r="AL29" s="8">
        <v>1.3</v>
      </c>
      <c r="AM29" s="8">
        <v>1.3</v>
      </c>
      <c r="AN29" s="8">
        <v>1.3</v>
      </c>
      <c r="AO29" s="8">
        <v>1.3</v>
      </c>
      <c r="AP29" s="8">
        <v>1.3</v>
      </c>
      <c r="AQ29" s="8">
        <v>1.3</v>
      </c>
      <c r="AT29" s="1"/>
      <c r="AU29" s="1"/>
      <c r="AV29" s="1"/>
      <c r="BF29" s="2" t="s">
        <v>262</v>
      </c>
      <c r="BS29" s="2" t="str">
        <f>BS10</f>
        <v>Stroke</v>
      </c>
      <c r="BT29" s="8">
        <v>0.2</v>
      </c>
      <c r="BU29" s="8">
        <v>0.3</v>
      </c>
      <c r="BV29" s="8">
        <v>0.4</v>
      </c>
      <c r="BW29" s="8">
        <v>0.5</v>
      </c>
      <c r="BX29" s="8">
        <v>0.7</v>
      </c>
      <c r="BY29" s="8">
        <v>0.9</v>
      </c>
      <c r="BZ29" s="8">
        <v>0.9</v>
      </c>
      <c r="CA29" s="8">
        <v>0.9</v>
      </c>
      <c r="CB29" s="8">
        <v>0.9</v>
      </c>
      <c r="CC29" s="8">
        <v>0.9</v>
      </c>
      <c r="CD29" s="8">
        <v>0.9</v>
      </c>
      <c r="CE29" s="8">
        <v>0.9</v>
      </c>
      <c r="CF29" s="8">
        <v>0.9</v>
      </c>
      <c r="CG29" s="8">
        <v>0.9</v>
      </c>
    </row>
    <row r="30" spans="8:85" ht="14.25">
      <c r="H30" s="200" t="s">
        <v>121</v>
      </c>
      <c r="I30" s="71" t="s">
        <v>10</v>
      </c>
      <c r="J30" s="70">
        <v>6.375</v>
      </c>
      <c r="K30" s="70">
        <v>6.375</v>
      </c>
      <c r="L30" s="70">
        <v>5.4</v>
      </c>
      <c r="M30" s="70">
        <v>4.5999999999999996</v>
      </c>
      <c r="N30" s="70">
        <v>3.7333333333333298</v>
      </c>
      <c r="O30" s="70">
        <v>3.0249999999999999</v>
      </c>
      <c r="P30" s="70">
        <v>3.0249999999999999</v>
      </c>
      <c r="V30" s="98" t="s">
        <v>189</v>
      </c>
      <c r="W30" s="8">
        <v>500</v>
      </c>
      <c r="X30" s="8">
        <v>500</v>
      </c>
      <c r="Y30" s="8">
        <v>500</v>
      </c>
      <c r="Z30" s="8">
        <v>500</v>
      </c>
      <c r="AA30" s="8">
        <v>500</v>
      </c>
      <c r="AB30" s="8">
        <v>500</v>
      </c>
      <c r="AC30" s="8">
        <v>500</v>
      </c>
      <c r="AD30" s="8">
        <v>500</v>
      </c>
      <c r="AE30" s="8">
        <v>500</v>
      </c>
      <c r="AF30" s="8">
        <v>500</v>
      </c>
      <c r="AH30" s="26"/>
      <c r="AK30" s="2" t="str">
        <f>"Former smoker, ≤"&amp;AO24&amp;" months"</f>
        <v>Former smoker, ≤6 months</v>
      </c>
      <c r="AL30" s="8">
        <v>1.1000000000000001</v>
      </c>
      <c r="AM30" s="8">
        <v>1.1000000000000001</v>
      </c>
      <c r="AN30" s="8">
        <v>1.1000000000000001</v>
      </c>
      <c r="AO30" s="8">
        <v>1.1000000000000001</v>
      </c>
      <c r="AP30" s="8">
        <v>1.1000000000000001</v>
      </c>
      <c r="AQ30" s="8">
        <v>1.1000000000000001</v>
      </c>
      <c r="AT30" s="1"/>
      <c r="AU30" s="1"/>
      <c r="AV30" s="1"/>
      <c r="BG30" s="206" t="s">
        <v>116</v>
      </c>
      <c r="BH30" s="207"/>
      <c r="BI30" s="100">
        <v>1</v>
      </c>
      <c r="BS30" s="2" t="str">
        <f>BS11</f>
        <v>OthEvent</v>
      </c>
      <c r="BT30" s="8">
        <v>0.2</v>
      </c>
      <c r="BU30" s="8">
        <v>0.3</v>
      </c>
      <c r="BV30" s="8">
        <v>0.4</v>
      </c>
      <c r="BW30" s="8">
        <v>0.5</v>
      </c>
      <c r="BX30" s="8">
        <v>0.7</v>
      </c>
      <c r="BY30" s="8">
        <v>0.9</v>
      </c>
      <c r="BZ30" s="8">
        <v>0.9</v>
      </c>
      <c r="CA30" s="8">
        <v>0.9</v>
      </c>
      <c r="CB30" s="8">
        <v>0.9</v>
      </c>
      <c r="CC30" s="8">
        <v>0.9</v>
      </c>
      <c r="CD30" s="8">
        <v>0.9</v>
      </c>
      <c r="CE30" s="8">
        <v>0.9</v>
      </c>
      <c r="CF30" s="8">
        <v>0.9</v>
      </c>
      <c r="CG30" s="8">
        <v>0.9</v>
      </c>
    </row>
    <row r="31" spans="8:85" ht="14.25">
      <c r="H31" s="200"/>
      <c r="I31" s="69" t="s">
        <v>11</v>
      </c>
      <c r="J31" s="70">
        <v>0.255102</v>
      </c>
      <c r="K31" s="70">
        <v>0.255102</v>
      </c>
      <c r="L31" s="70">
        <v>0.22108800000000001</v>
      </c>
      <c r="M31" s="70">
        <v>0.191327</v>
      </c>
      <c r="N31" s="70">
        <v>0.24232999999999999</v>
      </c>
      <c r="O31" s="70">
        <v>0.25085000000000002</v>
      </c>
      <c r="P31" s="70">
        <v>0.25085000000000002</v>
      </c>
      <c r="V31" s="98" t="s">
        <v>193</v>
      </c>
      <c r="W31" s="8">
        <v>2</v>
      </c>
      <c r="X31" s="8">
        <v>2</v>
      </c>
      <c r="Y31" s="8">
        <v>2</v>
      </c>
      <c r="Z31" s="8">
        <v>2</v>
      </c>
      <c r="AA31" s="8">
        <v>2</v>
      </c>
      <c r="AB31" s="8">
        <v>2</v>
      </c>
      <c r="AC31" s="8">
        <v>2</v>
      </c>
      <c r="AD31" s="8">
        <v>2</v>
      </c>
      <c r="AE31" s="8">
        <v>2</v>
      </c>
      <c r="AF31" s="8">
        <v>2</v>
      </c>
      <c r="AH31" s="26"/>
      <c r="AK31" s="2" t="s">
        <v>57</v>
      </c>
      <c r="AL31" s="8">
        <v>1</v>
      </c>
      <c r="AM31" s="8">
        <v>1</v>
      </c>
      <c r="AN31" s="8">
        <v>1</v>
      </c>
      <c r="AO31" s="8">
        <v>1</v>
      </c>
      <c r="AP31" s="8">
        <v>1</v>
      </c>
      <c r="AQ31" s="8">
        <v>1</v>
      </c>
      <c r="AT31" s="1"/>
      <c r="AU31" s="1"/>
      <c r="AV31" s="1"/>
      <c r="BG31" s="206" t="s">
        <v>117</v>
      </c>
      <c r="BH31" s="207"/>
      <c r="BI31" s="100">
        <v>1</v>
      </c>
    </row>
    <row r="32" spans="8:85" ht="14.25">
      <c r="V32" s="98" t="s">
        <v>190</v>
      </c>
      <c r="W32" s="8">
        <v>1</v>
      </c>
      <c r="X32" s="8">
        <v>1</v>
      </c>
      <c r="Y32" s="8">
        <v>1</v>
      </c>
      <c r="Z32" s="8">
        <v>1</v>
      </c>
      <c r="AA32" s="8">
        <v>1</v>
      </c>
      <c r="AB32" s="8">
        <v>1</v>
      </c>
      <c r="AC32" s="8">
        <v>1</v>
      </c>
      <c r="AD32" s="8">
        <v>1</v>
      </c>
      <c r="AE32" s="8">
        <v>1</v>
      </c>
      <c r="AF32" s="8">
        <v>1</v>
      </c>
      <c r="AG32" s="3" t="s">
        <v>233</v>
      </c>
      <c r="AH32" s="26"/>
      <c r="AT32" s="1"/>
      <c r="AU32" s="1"/>
      <c r="AV32" s="1"/>
      <c r="BG32" s="206" t="s">
        <v>118</v>
      </c>
      <c r="BH32" s="207"/>
      <c r="BI32" s="100">
        <v>0.95</v>
      </c>
      <c r="BS32" s="2" t="s">
        <v>12</v>
      </c>
    </row>
    <row r="33" spans="8:85" ht="14.25">
      <c r="H33" s="10" t="s">
        <v>252</v>
      </c>
      <c r="I33" s="1"/>
      <c r="J33" s="1"/>
      <c r="K33" s="1"/>
      <c r="L33" s="1"/>
      <c r="M33" s="1"/>
      <c r="N33" s="1"/>
      <c r="O33" s="1"/>
      <c r="V33" s="98" t="s">
        <v>191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H33" s="26"/>
      <c r="AI33" s="44" t="s">
        <v>177</v>
      </c>
      <c r="AV33" s="1"/>
      <c r="BG33" s="206" t="s">
        <v>119</v>
      </c>
      <c r="BH33" s="207"/>
      <c r="BI33" s="100">
        <v>0.95</v>
      </c>
    </row>
    <row r="34" spans="8:85" ht="14.25">
      <c r="H34" s="1"/>
      <c r="I34" s="1"/>
      <c r="J34" s="18" t="s">
        <v>116</v>
      </c>
      <c r="K34" s="18" t="s">
        <v>117</v>
      </c>
      <c r="L34" s="18" t="s">
        <v>118</v>
      </c>
      <c r="M34" s="18" t="s">
        <v>119</v>
      </c>
      <c r="N34" s="18" t="s">
        <v>120</v>
      </c>
      <c r="O34" s="18" t="s">
        <v>121</v>
      </c>
      <c r="AH34" s="26"/>
      <c r="AL34" s="2" t="s">
        <v>178</v>
      </c>
      <c r="AM34" s="2" t="s">
        <v>179</v>
      </c>
      <c r="AN34" s="2" t="s">
        <v>180</v>
      </c>
      <c r="AO34" s="2" t="s">
        <v>181</v>
      </c>
      <c r="AP34" s="2" t="s">
        <v>182</v>
      </c>
      <c r="AQ34" s="2" t="s">
        <v>183</v>
      </c>
      <c r="AR34" s="2" t="s">
        <v>184</v>
      </c>
      <c r="AS34" s="2" t="s">
        <v>185</v>
      </c>
      <c r="AT34" s="2" t="s">
        <v>186</v>
      </c>
      <c r="AU34" s="2" t="s">
        <v>187</v>
      </c>
      <c r="AV34" s="1"/>
      <c r="BG34" s="206" t="s">
        <v>120</v>
      </c>
      <c r="BH34" s="207"/>
      <c r="BI34" s="100">
        <v>0.8</v>
      </c>
      <c r="BS34" s="2" t="s">
        <v>22</v>
      </c>
      <c r="BT34" s="2" t="s">
        <v>108</v>
      </c>
      <c r="BU34" s="2" t="s">
        <v>83</v>
      </c>
      <c r="BV34" s="2" t="s">
        <v>84</v>
      </c>
      <c r="BW34" s="2" t="s">
        <v>85</v>
      </c>
      <c r="BX34" s="2" t="s">
        <v>86</v>
      </c>
      <c r="BY34" s="2" t="s">
        <v>87</v>
      </c>
      <c r="BZ34" s="2" t="s">
        <v>88</v>
      </c>
      <c r="CA34" s="2" t="s">
        <v>89</v>
      </c>
      <c r="CB34" s="2" t="s">
        <v>90</v>
      </c>
      <c r="CC34" s="2" t="s">
        <v>91</v>
      </c>
      <c r="CD34" s="2" t="s">
        <v>92</v>
      </c>
      <c r="CE34" s="2" t="s">
        <v>93</v>
      </c>
      <c r="CF34" s="2" t="s">
        <v>94</v>
      </c>
      <c r="CG34" s="2" t="s">
        <v>95</v>
      </c>
    </row>
    <row r="35" spans="8:85" ht="14.25">
      <c r="H35" s="1"/>
      <c r="I35" s="2" t="s">
        <v>128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U35" s="2" t="s">
        <v>192</v>
      </c>
      <c r="AH35" s="26"/>
      <c r="AJ35" s="2" t="s">
        <v>238</v>
      </c>
      <c r="AL35" s="8">
        <v>0.3</v>
      </c>
      <c r="AM35" s="8">
        <v>0.3</v>
      </c>
      <c r="AN35" s="8">
        <v>0.3</v>
      </c>
      <c r="AO35" s="8">
        <v>0.3</v>
      </c>
      <c r="AP35" s="8">
        <v>0.3</v>
      </c>
      <c r="AQ35" s="8">
        <v>0.3</v>
      </c>
      <c r="AR35" s="8">
        <v>0.3</v>
      </c>
      <c r="AS35" s="8">
        <v>0.3</v>
      </c>
      <c r="AT35" s="8">
        <v>0.3</v>
      </c>
      <c r="AU35" s="8">
        <v>0.3</v>
      </c>
      <c r="AV35" s="1"/>
      <c r="BG35" s="206" t="s">
        <v>121</v>
      </c>
      <c r="BH35" s="207"/>
      <c r="BI35" s="100">
        <v>0.75</v>
      </c>
      <c r="BS35" s="2" t="str">
        <f>BS16</f>
        <v>LungCancer</v>
      </c>
      <c r="BT35" s="8">
        <v>0.2</v>
      </c>
      <c r="BU35" s="8">
        <v>0.3</v>
      </c>
      <c r="BV35" s="8">
        <v>0.4</v>
      </c>
      <c r="BW35" s="8">
        <v>0.5</v>
      </c>
      <c r="BX35" s="8">
        <v>0.7</v>
      </c>
      <c r="BY35" s="8">
        <v>0.9</v>
      </c>
      <c r="BZ35" s="8">
        <v>0.9</v>
      </c>
      <c r="CA35" s="8">
        <v>0.9</v>
      </c>
      <c r="CB35" s="8">
        <v>0.9</v>
      </c>
      <c r="CC35" s="8">
        <v>0.9</v>
      </c>
      <c r="CD35" s="8">
        <v>0.9</v>
      </c>
      <c r="CE35" s="8">
        <v>0.9</v>
      </c>
      <c r="CF35" s="8">
        <v>0.9</v>
      </c>
      <c r="CG35" s="8">
        <v>0.9</v>
      </c>
    </row>
    <row r="36" spans="8:85" ht="14.25">
      <c r="H36" s="1"/>
      <c r="I36" s="2" t="s">
        <v>129</v>
      </c>
      <c r="J36" s="70">
        <v>0.25734800000000002</v>
      </c>
      <c r="K36" s="70">
        <v>0.25734800000000002</v>
      </c>
      <c r="L36" s="70">
        <v>0.25734800000000002</v>
      </c>
      <c r="M36" s="70">
        <v>0.25734800000000002</v>
      </c>
      <c r="N36" s="70">
        <v>0.25734800000000002</v>
      </c>
      <c r="O36" s="70">
        <v>0.25734800000000002</v>
      </c>
      <c r="V36" s="98" t="s">
        <v>189</v>
      </c>
      <c r="W36" s="8">
        <v>200</v>
      </c>
      <c r="X36" s="8">
        <v>200</v>
      </c>
      <c r="Y36" s="8">
        <v>200</v>
      </c>
      <c r="Z36" s="8">
        <v>200</v>
      </c>
      <c r="AA36" s="8">
        <v>200</v>
      </c>
      <c r="AB36" s="8">
        <v>200</v>
      </c>
      <c r="AC36" s="8">
        <v>200</v>
      </c>
      <c r="AD36" s="8">
        <v>200</v>
      </c>
      <c r="AE36" s="8">
        <v>200</v>
      </c>
      <c r="AF36" s="8">
        <v>200</v>
      </c>
      <c r="AH36" s="26"/>
      <c r="AJ36" s="2" t="s">
        <v>166</v>
      </c>
      <c r="AL36" s="8">
        <v>0.01</v>
      </c>
      <c r="AM36" s="8">
        <v>0.01</v>
      </c>
      <c r="AN36" s="8">
        <v>0.01</v>
      </c>
      <c r="AO36" s="8">
        <v>0.01</v>
      </c>
      <c r="AP36" s="8">
        <v>0.01</v>
      </c>
      <c r="AQ36" s="8">
        <v>0.01</v>
      </c>
      <c r="AR36" s="8">
        <v>0.01</v>
      </c>
      <c r="AS36" s="8">
        <v>0.01</v>
      </c>
      <c r="AT36" s="8">
        <v>0.01</v>
      </c>
      <c r="AU36" s="8">
        <v>0.01</v>
      </c>
      <c r="BS36" s="2" t="str">
        <f>BS17</f>
        <v>COPD</v>
      </c>
      <c r="BT36" s="8">
        <v>0.2</v>
      </c>
      <c r="BU36" s="8">
        <v>0.3</v>
      </c>
      <c r="BV36" s="8">
        <v>0.4</v>
      </c>
      <c r="BW36" s="8">
        <v>0.5</v>
      </c>
      <c r="BX36" s="8">
        <v>0.7</v>
      </c>
      <c r="BY36" s="8">
        <v>0.9</v>
      </c>
      <c r="BZ36" s="8">
        <v>0.9</v>
      </c>
      <c r="CA36" s="8">
        <v>0.9</v>
      </c>
      <c r="CB36" s="8">
        <v>0.9</v>
      </c>
      <c r="CC36" s="8">
        <v>0.9</v>
      </c>
      <c r="CD36" s="8">
        <v>0.9</v>
      </c>
      <c r="CE36" s="8">
        <v>0.9</v>
      </c>
      <c r="CF36" s="8">
        <v>0.9</v>
      </c>
      <c r="CG36" s="8">
        <v>0.9</v>
      </c>
    </row>
    <row r="37" spans="8:85" ht="14.25">
      <c r="H37" s="1"/>
      <c r="I37" s="2" t="s">
        <v>130</v>
      </c>
      <c r="J37" s="70">
        <v>0.25016300000000002</v>
      </c>
      <c r="K37" s="70">
        <v>0.25016300000000002</v>
      </c>
      <c r="L37" s="70">
        <v>0.25016300000000002</v>
      </c>
      <c r="M37" s="70">
        <v>0.25016300000000002</v>
      </c>
      <c r="N37" s="70">
        <v>0.25016300000000002</v>
      </c>
      <c r="O37" s="70">
        <v>0.25016300000000002</v>
      </c>
      <c r="V37" s="98" t="s">
        <v>193</v>
      </c>
      <c r="W37" s="8">
        <v>2</v>
      </c>
      <c r="X37" s="8">
        <v>2</v>
      </c>
      <c r="Y37" s="8">
        <v>2</v>
      </c>
      <c r="Z37" s="8">
        <v>2</v>
      </c>
      <c r="AA37" s="8">
        <v>2</v>
      </c>
      <c r="AB37" s="8">
        <v>2</v>
      </c>
      <c r="AC37" s="8">
        <v>2</v>
      </c>
      <c r="AD37" s="8">
        <v>2</v>
      </c>
      <c r="AE37" s="8">
        <v>2</v>
      </c>
      <c r="AF37" s="8">
        <v>2</v>
      </c>
      <c r="AH37" s="26"/>
      <c r="AJ37" s="2" t="s">
        <v>167</v>
      </c>
      <c r="AL37" s="8">
        <v>3</v>
      </c>
      <c r="AM37" s="8">
        <v>3</v>
      </c>
      <c r="AN37" s="8">
        <v>3</v>
      </c>
      <c r="AO37" s="8">
        <v>3</v>
      </c>
      <c r="AP37" s="8">
        <v>3</v>
      </c>
      <c r="AQ37" s="8">
        <v>3</v>
      </c>
      <c r="AR37" s="8">
        <v>3</v>
      </c>
      <c r="AS37" s="8">
        <v>3</v>
      </c>
      <c r="AT37" s="8">
        <v>3</v>
      </c>
      <c r="AU37" s="8">
        <v>3</v>
      </c>
      <c r="BG37" s="197" t="s">
        <v>263</v>
      </c>
      <c r="BH37" s="197"/>
      <c r="BI37" s="100">
        <v>0.4</v>
      </c>
      <c r="BS37" s="2" t="str">
        <f>BS18</f>
        <v>MI</v>
      </c>
      <c r="BT37" s="8">
        <v>0.2</v>
      </c>
      <c r="BU37" s="8">
        <v>0.3</v>
      </c>
      <c r="BV37" s="8">
        <v>0.4</v>
      </c>
      <c r="BW37" s="8">
        <v>0.5</v>
      </c>
      <c r="BX37" s="8">
        <v>0.7</v>
      </c>
      <c r="BY37" s="8">
        <v>0.9</v>
      </c>
      <c r="BZ37" s="8">
        <v>0.9</v>
      </c>
      <c r="CA37" s="8">
        <v>0.9</v>
      </c>
      <c r="CB37" s="8">
        <v>0.9</v>
      </c>
      <c r="CC37" s="8">
        <v>0.9</v>
      </c>
      <c r="CD37" s="8">
        <v>0.9</v>
      </c>
      <c r="CE37" s="8">
        <v>0.9</v>
      </c>
      <c r="CF37" s="8">
        <v>0.9</v>
      </c>
      <c r="CG37" s="8">
        <v>0.9</v>
      </c>
    </row>
    <row r="38" spans="8:85" ht="14.25">
      <c r="H38" s="1"/>
      <c r="I38" s="2" t="s">
        <v>131</v>
      </c>
      <c r="J38" s="70">
        <v>0.25212299999999999</v>
      </c>
      <c r="K38" s="70">
        <v>0.25212299999999999</v>
      </c>
      <c r="L38" s="70">
        <v>0.25212299999999999</v>
      </c>
      <c r="M38" s="70">
        <v>0.25212299999999999</v>
      </c>
      <c r="N38" s="70">
        <v>0.25212299999999999</v>
      </c>
      <c r="O38" s="70">
        <v>0.25212299999999999</v>
      </c>
      <c r="V38" s="98" t="s">
        <v>190</v>
      </c>
      <c r="W38" s="8">
        <v>1</v>
      </c>
      <c r="X38" s="8">
        <v>1</v>
      </c>
      <c r="Y38" s="8">
        <v>1</v>
      </c>
      <c r="Z38" s="8">
        <v>1</v>
      </c>
      <c r="AA38" s="8">
        <v>1</v>
      </c>
      <c r="AB38" s="8">
        <v>1</v>
      </c>
      <c r="AC38" s="8">
        <v>1</v>
      </c>
      <c r="AD38" s="8">
        <v>1</v>
      </c>
      <c r="AE38" s="8">
        <v>1</v>
      </c>
      <c r="AF38" s="8">
        <v>1</v>
      </c>
      <c r="AH38" s="26"/>
      <c r="AJ38" s="2" t="s">
        <v>168</v>
      </c>
      <c r="AL38" s="8">
        <v>1</v>
      </c>
      <c r="AM38" s="8">
        <v>1</v>
      </c>
      <c r="AN38" s="8">
        <v>1</v>
      </c>
      <c r="AO38" s="8">
        <v>1</v>
      </c>
      <c r="AP38" s="8">
        <v>1</v>
      </c>
      <c r="AQ38" s="8">
        <v>1</v>
      </c>
      <c r="AR38" s="8">
        <v>1</v>
      </c>
      <c r="AS38" s="8">
        <v>1</v>
      </c>
      <c r="AT38" s="8">
        <v>1</v>
      </c>
      <c r="AU38" s="8">
        <v>1</v>
      </c>
      <c r="BS38" s="2" t="str">
        <f>BS19</f>
        <v>Stroke</v>
      </c>
      <c r="BT38" s="8">
        <v>0.2</v>
      </c>
      <c r="BU38" s="8">
        <v>0.3</v>
      </c>
      <c r="BV38" s="8">
        <v>0.4</v>
      </c>
      <c r="BW38" s="8">
        <v>0.5</v>
      </c>
      <c r="BX38" s="8">
        <v>0.7</v>
      </c>
      <c r="BY38" s="8">
        <v>0.9</v>
      </c>
      <c r="BZ38" s="8">
        <v>0.9</v>
      </c>
      <c r="CA38" s="8">
        <v>0.9</v>
      </c>
      <c r="CB38" s="8">
        <v>0.9</v>
      </c>
      <c r="CC38" s="8">
        <v>0.9</v>
      </c>
      <c r="CD38" s="8">
        <v>0.9</v>
      </c>
      <c r="CE38" s="8">
        <v>0.9</v>
      </c>
      <c r="CF38" s="8">
        <v>0.9</v>
      </c>
      <c r="CG38" s="8">
        <v>0.9</v>
      </c>
    </row>
    <row r="39" spans="8:85" ht="14.25">
      <c r="H39" s="1"/>
      <c r="I39" s="2" t="s">
        <v>132</v>
      </c>
      <c r="J39" s="70">
        <v>0.16329199999999999</v>
      </c>
      <c r="K39" s="70">
        <v>0.16329199999999999</v>
      </c>
      <c r="L39" s="70">
        <v>0.16329199999999999</v>
      </c>
      <c r="M39" s="70">
        <v>0.16329199999999999</v>
      </c>
      <c r="N39" s="70">
        <v>0.16329199999999999</v>
      </c>
      <c r="O39" s="70">
        <v>0.16329199999999999</v>
      </c>
      <c r="V39" s="98" t="s">
        <v>194</v>
      </c>
      <c r="W39" s="8">
        <v>6</v>
      </c>
      <c r="X39" s="8">
        <v>6</v>
      </c>
      <c r="Y39" s="8">
        <v>6</v>
      </c>
      <c r="Z39" s="8">
        <v>6</v>
      </c>
      <c r="AA39" s="8">
        <v>6</v>
      </c>
      <c r="AB39" s="8">
        <v>6</v>
      </c>
      <c r="AC39" s="8">
        <v>6</v>
      </c>
      <c r="AD39" s="8">
        <v>6</v>
      </c>
      <c r="AE39" s="8">
        <v>6</v>
      </c>
      <c r="AF39" s="8">
        <v>6</v>
      </c>
      <c r="AH39" s="26"/>
      <c r="AJ39" s="2" t="s">
        <v>172</v>
      </c>
      <c r="AL39" s="8">
        <v>0.1</v>
      </c>
      <c r="AM39" s="8">
        <v>0.1</v>
      </c>
      <c r="AN39" s="8">
        <v>0.1</v>
      </c>
      <c r="AO39" s="8">
        <v>0.1</v>
      </c>
      <c r="AP39" s="8">
        <v>0.1</v>
      </c>
      <c r="AQ39" s="8">
        <v>0.1</v>
      </c>
      <c r="AR39" s="8">
        <v>0.1</v>
      </c>
      <c r="AS39" s="8">
        <v>0.1</v>
      </c>
      <c r="AT39" s="8">
        <v>0.1</v>
      </c>
      <c r="AU39" s="8">
        <v>0.1</v>
      </c>
      <c r="BS39" s="2" t="str">
        <f>BS20</f>
        <v>OthEvent</v>
      </c>
      <c r="BT39" s="8">
        <v>0.2</v>
      </c>
      <c r="BU39" s="8">
        <v>0.3</v>
      </c>
      <c r="BV39" s="8">
        <v>0.4</v>
      </c>
      <c r="BW39" s="8">
        <v>0.5</v>
      </c>
      <c r="BX39" s="8">
        <v>0.7</v>
      </c>
      <c r="BY39" s="8">
        <v>0.9</v>
      </c>
      <c r="BZ39" s="8">
        <v>0.9</v>
      </c>
      <c r="CA39" s="8">
        <v>0.9</v>
      </c>
      <c r="CB39" s="8">
        <v>0.9</v>
      </c>
      <c r="CC39" s="8">
        <v>0.9</v>
      </c>
      <c r="CD39" s="8">
        <v>0.9</v>
      </c>
      <c r="CE39" s="8">
        <v>0.9</v>
      </c>
      <c r="CF39" s="8">
        <v>0.9</v>
      </c>
      <c r="CG39" s="8">
        <v>0.9</v>
      </c>
    </row>
    <row r="40" spans="8:85" ht="14.25">
      <c r="H40" s="1"/>
      <c r="I40" s="2" t="s">
        <v>133</v>
      </c>
      <c r="J40" s="70">
        <v>7.7074000000000004E-2</v>
      </c>
      <c r="K40" s="70">
        <v>7.7074000000000004E-2</v>
      </c>
      <c r="L40" s="70">
        <v>7.7074000000000004E-2</v>
      </c>
      <c r="M40" s="70">
        <v>7.7074000000000004E-2</v>
      </c>
      <c r="N40" s="70">
        <v>7.7074000000000004E-2</v>
      </c>
      <c r="O40" s="70">
        <v>7.7074000000000004E-2</v>
      </c>
      <c r="V40" s="2" t="s">
        <v>195</v>
      </c>
      <c r="AH40" s="26"/>
      <c r="AJ40" s="2" t="s">
        <v>210</v>
      </c>
      <c r="AL40" s="8">
        <v>1</v>
      </c>
      <c r="AM40" s="8">
        <v>1</v>
      </c>
      <c r="AN40" s="8">
        <v>1</v>
      </c>
      <c r="AO40" s="8">
        <v>1</v>
      </c>
      <c r="AP40" s="8">
        <v>1</v>
      </c>
      <c r="AQ40" s="8">
        <v>1</v>
      </c>
      <c r="AR40" s="8">
        <v>1</v>
      </c>
      <c r="AS40" s="8">
        <v>1</v>
      </c>
      <c r="AT40" s="8">
        <v>1</v>
      </c>
      <c r="AU40" s="8">
        <v>1</v>
      </c>
      <c r="AV40" s="3" t="s">
        <v>233</v>
      </c>
    </row>
    <row r="41" spans="8:85" ht="14.25">
      <c r="H41" s="1"/>
      <c r="I41" s="2" t="s">
        <v>134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V41" s="2" t="s">
        <v>196</v>
      </c>
      <c r="W41" s="8">
        <v>2</v>
      </c>
      <c r="X41" s="8">
        <v>2</v>
      </c>
      <c r="Y41" s="8">
        <v>2</v>
      </c>
      <c r="Z41" s="8">
        <v>2</v>
      </c>
      <c r="AA41" s="8">
        <v>2</v>
      </c>
      <c r="AB41" s="8">
        <v>2</v>
      </c>
      <c r="AC41" s="8">
        <v>2</v>
      </c>
      <c r="AD41" s="8">
        <v>2</v>
      </c>
      <c r="AE41" s="8">
        <v>2</v>
      </c>
      <c r="AF41" s="8">
        <v>2</v>
      </c>
      <c r="AH41" s="26"/>
      <c r="AJ41" s="2" t="s">
        <v>211</v>
      </c>
      <c r="AL41" s="91"/>
      <c r="AM41" s="91"/>
      <c r="AN41" s="91"/>
      <c r="AO41" s="91"/>
      <c r="AP41" s="91"/>
      <c r="AQ41" s="91"/>
      <c r="AR41" s="91"/>
      <c r="AS41" s="91"/>
      <c r="AT41" s="91"/>
      <c r="AU41" s="91"/>
      <c r="BR41" s="2" t="s">
        <v>254</v>
      </c>
    </row>
    <row r="42" spans="8:85" ht="14.25">
      <c r="H42" s="1"/>
      <c r="I42" s="1"/>
      <c r="J42" s="96">
        <f t="shared" ref="J42:O42" si="0">SUM(J35:J41)</f>
        <v>1</v>
      </c>
      <c r="K42" s="96">
        <f t="shared" si="0"/>
        <v>1</v>
      </c>
      <c r="L42" s="96">
        <f t="shared" si="0"/>
        <v>1</v>
      </c>
      <c r="M42" s="96">
        <f t="shared" si="0"/>
        <v>1</v>
      </c>
      <c r="N42" s="96">
        <f t="shared" si="0"/>
        <v>1</v>
      </c>
      <c r="O42" s="96">
        <f t="shared" si="0"/>
        <v>1</v>
      </c>
      <c r="V42" s="2" t="s">
        <v>198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>
        <v>1</v>
      </c>
      <c r="AD42" s="8">
        <v>1</v>
      </c>
      <c r="AE42" s="8">
        <v>1</v>
      </c>
      <c r="AF42" s="8">
        <v>1</v>
      </c>
      <c r="AH42" s="26"/>
      <c r="AK42" s="98" t="s">
        <v>212</v>
      </c>
      <c r="AL42" s="8">
        <v>250</v>
      </c>
      <c r="AM42" s="8">
        <v>250</v>
      </c>
      <c r="AN42" s="8">
        <v>250</v>
      </c>
      <c r="AO42" s="8">
        <v>250</v>
      </c>
      <c r="AP42" s="8">
        <v>250</v>
      </c>
      <c r="AQ42" s="8">
        <v>250</v>
      </c>
      <c r="AR42" s="8">
        <v>250</v>
      </c>
      <c r="AS42" s="8">
        <v>250</v>
      </c>
      <c r="AT42" s="8">
        <v>250</v>
      </c>
      <c r="AU42" s="8">
        <v>250</v>
      </c>
    </row>
    <row r="43" spans="8:85" ht="14.25">
      <c r="H43" s="1"/>
      <c r="I43" s="1"/>
      <c r="J43" s="97" t="s">
        <v>253</v>
      </c>
      <c r="K43" s="102"/>
      <c r="L43" s="102"/>
      <c r="M43" s="102"/>
      <c r="N43" s="102"/>
      <c r="O43" s="102"/>
      <c r="U43" s="1"/>
      <c r="V43" s="2" t="s">
        <v>199</v>
      </c>
      <c r="W43" s="90">
        <v>2</v>
      </c>
      <c r="X43" s="90">
        <v>2</v>
      </c>
      <c r="Y43" s="90">
        <v>2</v>
      </c>
      <c r="Z43" s="90">
        <v>2</v>
      </c>
      <c r="AA43" s="90">
        <v>2</v>
      </c>
      <c r="AB43" s="90">
        <v>2</v>
      </c>
      <c r="AC43" s="90">
        <v>2</v>
      </c>
      <c r="AD43" s="90">
        <v>2</v>
      </c>
      <c r="AE43" s="90">
        <v>2</v>
      </c>
      <c r="AF43" s="90">
        <v>2</v>
      </c>
      <c r="AG43" s="1"/>
      <c r="AH43" s="26"/>
      <c r="AK43" s="98" t="s">
        <v>190</v>
      </c>
      <c r="AL43" s="8">
        <v>1</v>
      </c>
      <c r="AM43" s="8">
        <v>1</v>
      </c>
      <c r="AN43" s="8">
        <v>1</v>
      </c>
      <c r="AO43" s="8">
        <v>1</v>
      </c>
      <c r="AP43" s="8">
        <v>1</v>
      </c>
      <c r="AQ43" s="8">
        <v>1</v>
      </c>
      <c r="AR43" s="8">
        <v>1</v>
      </c>
      <c r="AS43" s="8">
        <v>1</v>
      </c>
      <c r="AT43" s="8">
        <v>1</v>
      </c>
      <c r="AU43" s="8">
        <v>1</v>
      </c>
      <c r="AV43" s="3" t="s">
        <v>233</v>
      </c>
      <c r="BS43" s="2" t="s">
        <v>22</v>
      </c>
      <c r="BT43" s="2" t="s">
        <v>108</v>
      </c>
      <c r="BU43" s="2" t="s">
        <v>83</v>
      </c>
      <c r="BV43" s="2" t="s">
        <v>84</v>
      </c>
      <c r="BW43" s="2" t="s">
        <v>85</v>
      </c>
      <c r="BX43" s="2" t="s">
        <v>86</v>
      </c>
      <c r="BY43" s="2" t="s">
        <v>87</v>
      </c>
      <c r="BZ43" s="2" t="s">
        <v>88</v>
      </c>
      <c r="CA43" s="2" t="s">
        <v>89</v>
      </c>
      <c r="CB43" s="2" t="s">
        <v>90</v>
      </c>
      <c r="CC43" s="2" t="s">
        <v>91</v>
      </c>
      <c r="CD43" s="2" t="s">
        <v>92</v>
      </c>
      <c r="CE43" s="2" t="s">
        <v>93</v>
      </c>
      <c r="CF43" s="2" t="s">
        <v>94</v>
      </c>
      <c r="CG43" s="2" t="s">
        <v>95</v>
      </c>
    </row>
    <row r="44" spans="8:85" ht="14.25">
      <c r="H44" s="2" t="s">
        <v>135</v>
      </c>
      <c r="U44" s="1"/>
      <c r="V44" s="2" t="s">
        <v>197</v>
      </c>
      <c r="W44" s="90">
        <v>1</v>
      </c>
      <c r="X44" s="90">
        <v>1</v>
      </c>
      <c r="Y44" s="90">
        <v>1</v>
      </c>
      <c r="Z44" s="90">
        <v>1</v>
      </c>
      <c r="AA44" s="90">
        <v>1</v>
      </c>
      <c r="AB44" s="90">
        <v>1</v>
      </c>
      <c r="AC44" s="90">
        <v>1</v>
      </c>
      <c r="AD44" s="90">
        <v>1</v>
      </c>
      <c r="AE44" s="90">
        <v>1</v>
      </c>
      <c r="AF44" s="90">
        <v>1</v>
      </c>
      <c r="AG44" s="3" t="s">
        <v>233</v>
      </c>
      <c r="AH44" s="26"/>
      <c r="AK44" s="98" t="s">
        <v>208</v>
      </c>
      <c r="AL44" s="8">
        <v>6</v>
      </c>
      <c r="AM44" s="8">
        <v>6</v>
      </c>
      <c r="AN44" s="8">
        <v>6</v>
      </c>
      <c r="AO44" s="8">
        <v>6</v>
      </c>
      <c r="AP44" s="8">
        <v>6</v>
      </c>
      <c r="AQ44" s="8">
        <v>6</v>
      </c>
      <c r="AR44" s="8">
        <v>6</v>
      </c>
      <c r="AS44" s="8">
        <v>6</v>
      </c>
      <c r="AT44" s="8">
        <v>6</v>
      </c>
      <c r="AU44" s="8">
        <v>6</v>
      </c>
      <c r="AV44" s="3" t="s">
        <v>264</v>
      </c>
      <c r="BS44" s="2" t="s">
        <v>13</v>
      </c>
      <c r="BT44" s="8">
        <v>0.8</v>
      </c>
      <c r="BU44" s="8">
        <v>0.8</v>
      </c>
      <c r="BV44" s="8">
        <v>0.8</v>
      </c>
      <c r="BW44" s="8">
        <v>0.8</v>
      </c>
      <c r="BX44" s="8">
        <v>0.8</v>
      </c>
      <c r="BY44" s="8">
        <v>0.8</v>
      </c>
      <c r="BZ44" s="8">
        <v>0.8</v>
      </c>
      <c r="CA44" s="8">
        <v>0.8</v>
      </c>
      <c r="CB44" s="8">
        <v>0.8</v>
      </c>
      <c r="CC44" s="8">
        <v>0.8</v>
      </c>
      <c r="CD44" s="8">
        <v>0.8</v>
      </c>
      <c r="CE44" s="8">
        <v>0.8</v>
      </c>
      <c r="CF44" s="8">
        <v>0.8</v>
      </c>
      <c r="CG44" s="8">
        <v>0.8</v>
      </c>
    </row>
    <row r="45" spans="8:85" ht="14.25">
      <c r="U45" s="1"/>
      <c r="V45" s="2" t="s">
        <v>200</v>
      </c>
      <c r="W45" s="90">
        <v>1</v>
      </c>
      <c r="X45" s="90">
        <v>1</v>
      </c>
      <c r="Y45" s="90">
        <v>1</v>
      </c>
      <c r="Z45" s="90">
        <v>1</v>
      </c>
      <c r="AA45" s="90">
        <v>1</v>
      </c>
      <c r="AB45" s="90">
        <v>1</v>
      </c>
      <c r="AC45" s="90">
        <v>1</v>
      </c>
      <c r="AD45" s="90">
        <v>1</v>
      </c>
      <c r="AE45" s="90">
        <v>1</v>
      </c>
      <c r="AF45" s="90">
        <v>1</v>
      </c>
      <c r="AG45" s="3" t="s">
        <v>233</v>
      </c>
      <c r="AH45" s="26"/>
      <c r="AI45" s="42"/>
      <c r="AJ45" s="2" t="s">
        <v>213</v>
      </c>
      <c r="AL45" s="91"/>
      <c r="AM45" s="91"/>
      <c r="AN45" s="91"/>
      <c r="AO45" s="91"/>
      <c r="AP45" s="91"/>
      <c r="AQ45" s="91"/>
      <c r="AR45" s="91"/>
      <c r="AS45" s="91"/>
      <c r="AT45" s="91"/>
      <c r="AU45" s="91"/>
      <c r="BS45" s="2" t="s">
        <v>12</v>
      </c>
      <c r="BT45" s="8">
        <v>0.8</v>
      </c>
      <c r="BU45" s="8">
        <v>0.8</v>
      </c>
      <c r="BV45" s="8">
        <v>0.8</v>
      </c>
      <c r="BW45" s="8">
        <v>0.8</v>
      </c>
      <c r="BX45" s="8">
        <v>0.8</v>
      </c>
      <c r="BY45" s="8">
        <v>0.8</v>
      </c>
      <c r="BZ45" s="8">
        <v>0.8</v>
      </c>
      <c r="CA45" s="8">
        <v>0.8</v>
      </c>
      <c r="CB45" s="8">
        <v>0.8</v>
      </c>
      <c r="CC45" s="8">
        <v>0.8</v>
      </c>
      <c r="CD45" s="8">
        <v>0.8</v>
      </c>
      <c r="CE45" s="8">
        <v>0.8</v>
      </c>
      <c r="CF45" s="8">
        <v>0.8</v>
      </c>
      <c r="CG45" s="8">
        <v>0.8</v>
      </c>
    </row>
    <row r="46" spans="8:85" ht="14.25">
      <c r="H46" s="2" t="s">
        <v>136</v>
      </c>
      <c r="I46" s="8">
        <v>1</v>
      </c>
      <c r="U46" s="1"/>
      <c r="V46" s="2" t="s">
        <v>201</v>
      </c>
      <c r="W46" s="90">
        <v>1</v>
      </c>
      <c r="X46" s="90">
        <v>1</v>
      </c>
      <c r="Y46" s="90">
        <v>1</v>
      </c>
      <c r="Z46" s="90">
        <v>1</v>
      </c>
      <c r="AA46" s="90">
        <v>1</v>
      </c>
      <c r="AB46" s="90">
        <v>1</v>
      </c>
      <c r="AC46" s="90">
        <v>1</v>
      </c>
      <c r="AD46" s="90">
        <v>1</v>
      </c>
      <c r="AE46" s="90">
        <v>1</v>
      </c>
      <c r="AF46" s="90">
        <v>1</v>
      </c>
      <c r="AG46" s="3" t="s">
        <v>233</v>
      </c>
      <c r="AH46" s="26"/>
      <c r="AI46" s="42"/>
      <c r="AK46" s="98" t="s">
        <v>214</v>
      </c>
      <c r="AL46" s="8">
        <v>400</v>
      </c>
      <c r="AM46" s="8">
        <v>400</v>
      </c>
      <c r="AN46" s="8">
        <v>400</v>
      </c>
      <c r="AO46" s="8">
        <v>400</v>
      </c>
      <c r="AP46" s="8">
        <v>400</v>
      </c>
      <c r="AQ46" s="8">
        <v>400</v>
      </c>
      <c r="AR46" s="8">
        <v>400</v>
      </c>
      <c r="AS46" s="8">
        <v>400</v>
      </c>
      <c r="AT46" s="8">
        <v>400</v>
      </c>
      <c r="AU46" s="8">
        <v>400</v>
      </c>
    </row>
    <row r="47" spans="8:85" ht="14.25"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26"/>
      <c r="AI47" s="42"/>
      <c r="AK47" s="98" t="s">
        <v>215</v>
      </c>
      <c r="AL47" s="8">
        <v>24</v>
      </c>
      <c r="AM47" s="8">
        <v>24</v>
      </c>
      <c r="AN47" s="8">
        <v>24</v>
      </c>
      <c r="AO47" s="8">
        <v>24</v>
      </c>
      <c r="AP47" s="8">
        <v>24</v>
      </c>
      <c r="AQ47" s="8">
        <v>24</v>
      </c>
      <c r="AR47" s="8">
        <v>24</v>
      </c>
      <c r="AS47" s="8">
        <v>24</v>
      </c>
      <c r="AT47" s="8">
        <v>24</v>
      </c>
      <c r="AU47" s="8">
        <v>24</v>
      </c>
      <c r="BR47" s="2" t="s">
        <v>255</v>
      </c>
    </row>
    <row r="48" spans="8:85" ht="14.25">
      <c r="H48" s="2" t="s">
        <v>228</v>
      </c>
      <c r="J48" s="98" t="s">
        <v>231</v>
      </c>
      <c r="K48" s="8">
        <v>2</v>
      </c>
      <c r="L48" s="98" t="s">
        <v>232</v>
      </c>
      <c r="M48" s="8">
        <v>6</v>
      </c>
      <c r="U48" s="2" t="s">
        <v>202</v>
      </c>
      <c r="AI48" s="42"/>
      <c r="AK48" s="98" t="s">
        <v>216</v>
      </c>
      <c r="AL48" s="8">
        <v>1</v>
      </c>
      <c r="AM48" s="8">
        <v>1</v>
      </c>
      <c r="AN48" s="8">
        <v>1</v>
      </c>
      <c r="AO48" s="8">
        <v>1</v>
      </c>
      <c r="AP48" s="8">
        <v>1</v>
      </c>
      <c r="AQ48" s="8">
        <v>1</v>
      </c>
      <c r="AR48" s="8">
        <v>1</v>
      </c>
      <c r="AS48" s="8">
        <v>1</v>
      </c>
      <c r="AT48" s="8">
        <v>1</v>
      </c>
      <c r="AU48" s="8">
        <v>1</v>
      </c>
    </row>
    <row r="49" spans="8:85" ht="14.25">
      <c r="J49" s="98"/>
      <c r="K49" s="19"/>
      <c r="L49" s="98"/>
      <c r="M49" s="19"/>
      <c r="U49" s="2" t="s">
        <v>203</v>
      </c>
      <c r="AI49" s="42"/>
      <c r="BS49" s="2" t="s">
        <v>22</v>
      </c>
      <c r="BT49" s="2" t="s">
        <v>108</v>
      </c>
      <c r="BU49" s="2" t="s">
        <v>83</v>
      </c>
      <c r="BV49" s="2" t="s">
        <v>84</v>
      </c>
      <c r="BW49" s="2" t="s">
        <v>85</v>
      </c>
      <c r="BX49" s="2" t="s">
        <v>86</v>
      </c>
      <c r="BY49" s="2" t="s">
        <v>87</v>
      </c>
      <c r="BZ49" s="2" t="s">
        <v>88</v>
      </c>
      <c r="CA49" s="2" t="s">
        <v>89</v>
      </c>
      <c r="CB49" s="2" t="s">
        <v>90</v>
      </c>
      <c r="CC49" s="2" t="s">
        <v>91</v>
      </c>
      <c r="CD49" s="2" t="s">
        <v>92</v>
      </c>
      <c r="CE49" s="2" t="s">
        <v>93</v>
      </c>
      <c r="CF49" s="2" t="s">
        <v>94</v>
      </c>
      <c r="CG49" s="2" t="s">
        <v>95</v>
      </c>
    </row>
    <row r="50" spans="8:85" ht="14.25">
      <c r="K50" s="2" t="str">
        <f>"≤"&amp;K48&amp;" mths"</f>
        <v>≤2 mths</v>
      </c>
      <c r="L50" s="2" t="str">
        <f>K48&amp;"-"&amp;M48&amp;" mths"</f>
        <v>2-6 mths</v>
      </c>
      <c r="M50" s="2" t="str">
        <f>"≥"&amp;M48&amp;" mths"</f>
        <v>≥6 mths</v>
      </c>
      <c r="V50" s="2" t="s">
        <v>204</v>
      </c>
      <c r="W50" s="8">
        <v>10000</v>
      </c>
      <c r="X50" s="8">
        <v>10000</v>
      </c>
      <c r="Y50" s="8">
        <v>10000</v>
      </c>
      <c r="Z50" s="8">
        <v>10000</v>
      </c>
      <c r="AA50" s="8">
        <v>10000</v>
      </c>
      <c r="AB50" s="8">
        <v>10000</v>
      </c>
      <c r="AC50" s="8">
        <v>10000</v>
      </c>
      <c r="AD50" s="8">
        <v>10000</v>
      </c>
      <c r="AE50" s="8">
        <v>10000</v>
      </c>
      <c r="AF50" s="8">
        <v>10000</v>
      </c>
      <c r="AI50" s="42"/>
      <c r="BS50" s="2" t="s">
        <v>13</v>
      </c>
      <c r="BT50" s="8">
        <v>1.3</v>
      </c>
      <c r="BU50" s="8">
        <v>1.3</v>
      </c>
      <c r="BV50" s="8">
        <v>1.3</v>
      </c>
      <c r="BW50" s="8">
        <v>1.3</v>
      </c>
      <c r="BX50" s="8">
        <v>1.3</v>
      </c>
      <c r="BY50" s="8">
        <v>1.3</v>
      </c>
      <c r="BZ50" s="8">
        <v>1.3</v>
      </c>
      <c r="CA50" s="8">
        <v>1.3</v>
      </c>
      <c r="CB50" s="8">
        <v>1.3</v>
      </c>
      <c r="CC50" s="8">
        <v>1.3</v>
      </c>
      <c r="CD50" s="8">
        <v>1.3</v>
      </c>
      <c r="CE50" s="8">
        <v>1.3</v>
      </c>
      <c r="CF50" s="8">
        <v>1.3</v>
      </c>
      <c r="CG50" s="8">
        <v>1.3</v>
      </c>
    </row>
    <row r="51" spans="8:85" ht="14.25">
      <c r="H51" s="197" t="s">
        <v>229</v>
      </c>
      <c r="I51" s="197"/>
      <c r="J51" s="197"/>
      <c r="K51" s="8">
        <v>3</v>
      </c>
      <c r="L51" s="8">
        <v>6</v>
      </c>
      <c r="M51" s="8">
        <v>6</v>
      </c>
      <c r="V51" s="2" t="s">
        <v>205</v>
      </c>
      <c r="W51" s="8">
        <v>1</v>
      </c>
      <c r="X51" s="8">
        <v>1</v>
      </c>
      <c r="Y51" s="8">
        <v>1</v>
      </c>
      <c r="Z51" s="8">
        <v>1</v>
      </c>
      <c r="AA51" s="8">
        <v>1</v>
      </c>
      <c r="AB51" s="8">
        <v>1</v>
      </c>
      <c r="AC51" s="8">
        <v>1</v>
      </c>
      <c r="AD51" s="8">
        <v>1</v>
      </c>
      <c r="AE51" s="8">
        <v>1</v>
      </c>
      <c r="AF51" s="8">
        <v>1</v>
      </c>
      <c r="AG51" s="3" t="s">
        <v>233</v>
      </c>
      <c r="AI51" s="42"/>
      <c r="BS51" s="2" t="s">
        <v>12</v>
      </c>
      <c r="BT51" s="8">
        <v>1.3</v>
      </c>
      <c r="BU51" s="8">
        <v>1.3</v>
      </c>
      <c r="BV51" s="8">
        <v>1.3</v>
      </c>
      <c r="BW51" s="8">
        <v>1.3</v>
      </c>
      <c r="BX51" s="8">
        <v>1.3</v>
      </c>
      <c r="BY51" s="8">
        <v>1.3</v>
      </c>
      <c r="BZ51" s="8">
        <v>1.3</v>
      </c>
      <c r="CA51" s="8">
        <v>1.3</v>
      </c>
      <c r="CB51" s="8">
        <v>1.3</v>
      </c>
      <c r="CC51" s="8">
        <v>1.3</v>
      </c>
      <c r="CD51" s="8">
        <v>1.3</v>
      </c>
      <c r="CE51" s="8">
        <v>1.3</v>
      </c>
      <c r="CF51" s="8">
        <v>1.3</v>
      </c>
      <c r="CG51" s="8">
        <v>1.3</v>
      </c>
    </row>
    <row r="52" spans="8:85" ht="14.25">
      <c r="H52" s="197" t="s">
        <v>230</v>
      </c>
      <c r="I52" s="197"/>
      <c r="J52" s="197"/>
      <c r="K52" s="8">
        <v>3</v>
      </c>
      <c r="L52" s="8">
        <v>6</v>
      </c>
      <c r="M52" s="8">
        <v>6</v>
      </c>
      <c r="U52" s="2" t="s">
        <v>206</v>
      </c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I52" s="42"/>
    </row>
    <row r="53" spans="8:85" ht="14.25">
      <c r="V53" s="2" t="s">
        <v>207</v>
      </c>
      <c r="W53" s="8">
        <v>1</v>
      </c>
      <c r="X53" s="8">
        <v>1</v>
      </c>
      <c r="Y53" s="8">
        <v>1</v>
      </c>
      <c r="Z53" s="8">
        <v>1</v>
      </c>
      <c r="AA53" s="8">
        <v>1</v>
      </c>
      <c r="AB53" s="8">
        <v>1</v>
      </c>
      <c r="AC53" s="8">
        <v>1</v>
      </c>
      <c r="AD53" s="8">
        <v>1</v>
      </c>
      <c r="AE53" s="8">
        <v>1</v>
      </c>
      <c r="AF53" s="8">
        <v>1</v>
      </c>
      <c r="AG53" s="3" t="s">
        <v>233</v>
      </c>
      <c r="AI53" s="42"/>
      <c r="BR53" s="2" t="s">
        <v>256</v>
      </c>
    </row>
    <row r="54" spans="8:85" ht="14.25">
      <c r="H54" s="197" t="s">
        <v>258</v>
      </c>
      <c r="I54" s="197"/>
      <c r="J54" s="197"/>
      <c r="K54" s="197"/>
      <c r="L54" s="197"/>
      <c r="M54" s="8">
        <v>1</v>
      </c>
      <c r="N54" s="3" t="s">
        <v>233</v>
      </c>
      <c r="V54" s="2" t="s">
        <v>208</v>
      </c>
      <c r="W54" s="8">
        <v>6</v>
      </c>
      <c r="X54" s="8">
        <v>6</v>
      </c>
      <c r="Y54" s="8">
        <v>6</v>
      </c>
      <c r="Z54" s="8">
        <v>6</v>
      </c>
      <c r="AA54" s="8">
        <v>6</v>
      </c>
      <c r="AB54" s="8">
        <v>6</v>
      </c>
      <c r="AC54" s="8">
        <v>6</v>
      </c>
      <c r="AD54" s="8">
        <v>6</v>
      </c>
      <c r="AE54" s="8">
        <v>6</v>
      </c>
      <c r="AF54" s="8">
        <v>6</v>
      </c>
      <c r="AI54" s="42"/>
    </row>
    <row r="55" spans="8:85" ht="14.25">
      <c r="H55" s="197" t="s">
        <v>259</v>
      </c>
      <c r="I55" s="197"/>
      <c r="J55" s="197"/>
      <c r="K55" s="197"/>
      <c r="L55" s="197"/>
      <c r="M55" s="8">
        <v>1</v>
      </c>
      <c r="N55" s="3" t="s">
        <v>233</v>
      </c>
      <c r="V55" s="2" t="s">
        <v>209</v>
      </c>
      <c r="W55" s="8">
        <v>6</v>
      </c>
      <c r="X55" s="8">
        <v>6</v>
      </c>
      <c r="Y55" s="8">
        <v>6</v>
      </c>
      <c r="Z55" s="8">
        <v>6</v>
      </c>
      <c r="AA55" s="8">
        <v>6</v>
      </c>
      <c r="AB55" s="8">
        <v>6</v>
      </c>
      <c r="AC55" s="8">
        <v>6</v>
      </c>
      <c r="AD55" s="8">
        <v>6</v>
      </c>
      <c r="AE55" s="8">
        <v>6</v>
      </c>
      <c r="AF55" s="8">
        <v>6</v>
      </c>
      <c r="AI55" s="42"/>
      <c r="BS55" s="2" t="s">
        <v>22</v>
      </c>
      <c r="BT55" s="2" t="s">
        <v>108</v>
      </c>
      <c r="BU55" s="2" t="s">
        <v>83</v>
      </c>
      <c r="BV55" s="2" t="s">
        <v>84</v>
      </c>
      <c r="BW55" s="2" t="s">
        <v>85</v>
      </c>
      <c r="BX55" s="2" t="s">
        <v>86</v>
      </c>
      <c r="BY55" s="2" t="s">
        <v>87</v>
      </c>
      <c r="BZ55" s="2" t="s">
        <v>88</v>
      </c>
      <c r="CA55" s="2" t="s">
        <v>89</v>
      </c>
      <c r="CB55" s="2" t="s">
        <v>90</v>
      </c>
      <c r="CC55" s="2" t="s">
        <v>91</v>
      </c>
      <c r="CD55" s="2" t="s">
        <v>92</v>
      </c>
      <c r="CE55" s="2" t="s">
        <v>93</v>
      </c>
      <c r="CF55" s="2" t="s">
        <v>94</v>
      </c>
      <c r="CG55" s="2" t="s">
        <v>95</v>
      </c>
    </row>
    <row r="56" spans="8:85" ht="14.25">
      <c r="AI56" s="42"/>
      <c r="BS56" s="2" t="s">
        <v>13</v>
      </c>
      <c r="BT56" s="8">
        <v>1.3</v>
      </c>
      <c r="BU56" s="8">
        <v>1.3</v>
      </c>
      <c r="BV56" s="8">
        <v>1.3</v>
      </c>
      <c r="BW56" s="8">
        <v>1.3</v>
      </c>
      <c r="BX56" s="8">
        <v>1.3</v>
      </c>
      <c r="BY56" s="8">
        <v>1.3</v>
      </c>
      <c r="BZ56" s="8">
        <v>1.3</v>
      </c>
      <c r="CA56" s="8">
        <v>1.3</v>
      </c>
      <c r="CB56" s="8">
        <v>1.3</v>
      </c>
      <c r="CC56" s="8">
        <v>1.3</v>
      </c>
      <c r="CD56" s="8">
        <v>1.3</v>
      </c>
      <c r="CE56" s="8">
        <v>1.3</v>
      </c>
      <c r="CF56" s="8">
        <v>1.3</v>
      </c>
      <c r="CG56" s="8">
        <v>1.3</v>
      </c>
    </row>
    <row r="57" spans="8:85" ht="14.25">
      <c r="AI57" s="42"/>
      <c r="BS57" s="2" t="s">
        <v>12</v>
      </c>
      <c r="BT57" s="8">
        <v>1.3</v>
      </c>
      <c r="BU57" s="8">
        <v>1.3</v>
      </c>
      <c r="BV57" s="8">
        <v>1.3</v>
      </c>
      <c r="BW57" s="8">
        <v>1.3</v>
      </c>
      <c r="BX57" s="8">
        <v>1.3</v>
      </c>
      <c r="BY57" s="8">
        <v>1.3</v>
      </c>
      <c r="BZ57" s="8">
        <v>1.3</v>
      </c>
      <c r="CA57" s="8">
        <v>1.3</v>
      </c>
      <c r="CB57" s="8">
        <v>1.3</v>
      </c>
      <c r="CC57" s="8">
        <v>1.3</v>
      </c>
      <c r="CD57" s="8">
        <v>1.3</v>
      </c>
      <c r="CE57" s="8">
        <v>1.3</v>
      </c>
      <c r="CF57" s="8">
        <v>1.3</v>
      </c>
      <c r="CG57" s="8">
        <v>1.3</v>
      </c>
    </row>
    <row r="58" spans="8:85" ht="14.25">
      <c r="AI58" s="42"/>
    </row>
    <row r="59" spans="8:85" ht="14.25">
      <c r="AI59" s="42"/>
    </row>
    <row r="60" spans="8:85" ht="14.25">
      <c r="AI60" s="42"/>
    </row>
    <row r="61" spans="8:85" ht="14.25">
      <c r="AI61" s="42"/>
    </row>
    <row r="62" spans="8:85" ht="14.25">
      <c r="AI62" s="42"/>
    </row>
    <row r="63" spans="8:85" ht="14.25">
      <c r="AI63" s="42"/>
    </row>
    <row r="64" spans="8:85" ht="14.25">
      <c r="AI64" s="42"/>
    </row>
    <row r="65" spans="35:35" ht="14.25">
      <c r="AI65" s="42"/>
    </row>
    <row r="66" spans="35:35" ht="14.25">
      <c r="AI66" s="42"/>
    </row>
    <row r="67" spans="35:35" ht="14.25">
      <c r="AI67" s="42"/>
    </row>
    <row r="68" spans="35:35" ht="14.25">
      <c r="AI68" s="42"/>
    </row>
    <row r="69" spans="35:35" ht="14.25">
      <c r="AI69" s="42"/>
    </row>
    <row r="70" spans="35:35" ht="14.25">
      <c r="AI70" s="42"/>
    </row>
    <row r="71" spans="35:35" ht="14.25">
      <c r="AI71" s="42"/>
    </row>
    <row r="72" spans="35:35" ht="14.25">
      <c r="AI72" s="42"/>
    </row>
    <row r="73" spans="35:35" ht="14.25">
      <c r="AI73" s="42"/>
    </row>
    <row r="74" spans="35:35" ht="14.25">
      <c r="AI74" s="42"/>
    </row>
    <row r="75" spans="35:35" ht="14.25">
      <c r="AI75" s="42"/>
    </row>
    <row r="76" spans="35:35" ht="14.25">
      <c r="AI76" s="42"/>
    </row>
    <row r="77" spans="35:35" ht="14.25">
      <c r="AI77" s="42"/>
    </row>
  </sheetData>
  <mergeCells count="29">
    <mergeCell ref="BG35:BH35"/>
    <mergeCell ref="BG37:BH37"/>
    <mergeCell ref="BG30:BH30"/>
    <mergeCell ref="BG31:BH31"/>
    <mergeCell ref="BG32:BH32"/>
    <mergeCell ref="BG33:BH33"/>
    <mergeCell ref="BG34:BH34"/>
    <mergeCell ref="H30:H31"/>
    <mergeCell ref="H22:H23"/>
    <mergeCell ref="H24:H25"/>
    <mergeCell ref="H26:H27"/>
    <mergeCell ref="AY20:BB20"/>
    <mergeCell ref="AY21:BB21"/>
    <mergeCell ref="A5:D5"/>
    <mergeCell ref="H54:L54"/>
    <mergeCell ref="H55:L55"/>
    <mergeCell ref="AY3:BB3"/>
    <mergeCell ref="AY4:BB4"/>
    <mergeCell ref="AY5:BB5"/>
    <mergeCell ref="K16:N16"/>
    <mergeCell ref="H20:H21"/>
    <mergeCell ref="AM4:AN4"/>
    <mergeCell ref="AO4:AP4"/>
    <mergeCell ref="H51:J51"/>
    <mergeCell ref="H52:J52"/>
    <mergeCell ref="AY8:BB8"/>
    <mergeCell ref="AY13:BB13"/>
    <mergeCell ref="AY18:BB18"/>
    <mergeCell ref="H28:H29"/>
  </mergeCells>
  <dataValidations disablePrompts="1" count="2">
    <dataValidation type="decimal" operator="greaterThan" allowBlank="1" showInputMessage="1" showErrorMessage="1" sqref="J7:J11">
      <formula1>0</formula1>
    </dataValidation>
    <dataValidation type="list" showInputMessage="1" showErrorMessage="1" sqref="O16">
      <formula1>"0,1"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Simulation</vt:lpstr>
      <vt:lpstr>Initialization</vt:lpstr>
      <vt:lpstr>NatHist</vt:lpstr>
      <vt:lpstr>Smoking</vt:lpstr>
      <vt:lpstr>Pre-Events</vt:lpstr>
      <vt:lpstr>Events</vt:lpstr>
      <vt:lpstr>Prophs</vt:lpstr>
      <vt:lpstr>Intervention</vt:lpstr>
      <vt:lpstr>Costs</vt:lpstr>
      <vt:lpstr>QoL</vt:lpstr>
      <vt:lpstr>HIV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Osher</dc:creator>
  <cp:lastModifiedBy>thou</cp:lastModifiedBy>
  <dcterms:created xsi:type="dcterms:W3CDTF">2017-01-31T15:43:42Z</dcterms:created>
  <dcterms:modified xsi:type="dcterms:W3CDTF">2018-05-31T21:13:37Z</dcterms:modified>
</cp:coreProperties>
</file>